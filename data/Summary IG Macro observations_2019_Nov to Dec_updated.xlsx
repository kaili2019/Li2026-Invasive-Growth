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1193023/Documents/Research/Yeast Experiments/data/"/>
    </mc:Choice>
  </mc:AlternateContent>
  <xr:revisionPtr revIDLastSave="0" documentId="13_ncr:1_{8ACF6FE0-E3CB-9D4C-9412-7EAB34075FA4}" xr6:coauthVersionLast="47" xr6:coauthVersionMax="47" xr10:uidLastSave="{00000000-0000-0000-0000-000000000000}"/>
  <bookViews>
    <workbookView xWindow="0" yWindow="760" windowWidth="30240" windowHeight="17580" tabRatio="500" xr2:uid="{00000000-000D-0000-FFFF-FFFF00000000}"/>
  </bookViews>
  <sheets>
    <sheet name="E1 (Exp C) Day 3 (11_11)" sheetId="3" r:id="rId1"/>
    <sheet name="Read me" sheetId="12" r:id="rId2"/>
    <sheet name="E1 (Exp C) Day 6 (14_11) " sheetId="4" r:id="rId3"/>
    <sheet name="E2 (Exp D) Day 3 (18_11)" sheetId="5" r:id="rId4"/>
    <sheet name="E2 (Exp D) Day 6 (21_11)" sheetId="6" r:id="rId5"/>
    <sheet name="E3 (Exp E) Day 4 (26_11)" sheetId="7" r:id="rId6"/>
    <sheet name="E3 (Exp E) Day 6 (28_11)" sheetId="8" r:id="rId7"/>
    <sheet name="E4 (Exp A) Day 3&amp;4 (2&amp;3_12)" sheetId="2" r:id="rId8"/>
    <sheet name="E4 (Exp A) Day 6 (5_12)" sheetId="1" r:id="rId9"/>
    <sheet name="E5 (Exp B) Day 4 (10_12)" sheetId="9" r:id="rId10"/>
    <sheet name="E 5 (Exp B) Day 6 (12_12)" sheetId="10" r:id="rId11"/>
    <sheet name="column graph for rough comparis" sheetId="1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9" i="2" l="1"/>
  <c r="K18" i="2"/>
  <c r="K17" i="2"/>
  <c r="K16" i="2"/>
  <c r="K99" i="2"/>
  <c r="K79" i="2"/>
  <c r="K98" i="2"/>
  <c r="K78" i="2"/>
  <c r="K97" i="2"/>
  <c r="K77" i="2"/>
  <c r="K96" i="2"/>
  <c r="K76" i="2"/>
  <c r="K95" i="2"/>
  <c r="K75" i="2"/>
  <c r="K94" i="2"/>
  <c r="K74" i="2"/>
  <c r="K93" i="2"/>
  <c r="K73" i="2"/>
  <c r="K92" i="2"/>
  <c r="K72" i="2"/>
  <c r="K91" i="2"/>
  <c r="K71" i="2"/>
  <c r="K90" i="2"/>
  <c r="K70" i="2"/>
  <c r="K89" i="2"/>
  <c r="K69" i="2"/>
  <c r="K88" i="2"/>
  <c r="K68" i="2"/>
  <c r="K87" i="2"/>
  <c r="K67" i="2"/>
  <c r="K86" i="2"/>
  <c r="K66" i="2"/>
  <c r="K85" i="2"/>
  <c r="K65" i="2"/>
  <c r="K82" i="2"/>
  <c r="K62" i="2"/>
  <c r="K84" i="2"/>
  <c r="K64" i="2"/>
  <c r="K81" i="2"/>
  <c r="K61" i="2"/>
  <c r="K83" i="2"/>
  <c r="K63" i="2"/>
  <c r="K80" i="2"/>
  <c r="K60" i="2"/>
  <c r="L56" i="3"/>
  <c r="L57" i="3"/>
  <c r="L58" i="3"/>
  <c r="L59" i="3"/>
  <c r="L60" i="3"/>
  <c r="L61" i="3"/>
  <c r="L73" i="3"/>
  <c r="L67" i="3"/>
  <c r="L79" i="3"/>
  <c r="L72" i="3"/>
  <c r="L66" i="3"/>
  <c r="L78" i="3"/>
  <c r="L71" i="3"/>
  <c r="L65" i="3"/>
  <c r="L77" i="3"/>
  <c r="L55" i="3"/>
  <c r="L49" i="3"/>
  <c r="L54" i="3"/>
  <c r="L48" i="3"/>
  <c r="L53" i="3"/>
  <c r="L47" i="3"/>
  <c r="L70" i="3"/>
  <c r="L64" i="3"/>
  <c r="L76" i="3"/>
  <c r="L69" i="3"/>
  <c r="L63" i="3"/>
  <c r="L75" i="3"/>
  <c r="L68" i="3"/>
  <c r="L62" i="3"/>
  <c r="L74" i="3"/>
  <c r="L52" i="3"/>
  <c r="L46" i="3"/>
  <c r="L51" i="3"/>
  <c r="L45" i="3"/>
  <c r="L50" i="3"/>
  <c r="L44" i="3"/>
  <c r="L62" i="4"/>
  <c r="L61" i="4"/>
  <c r="L60" i="4"/>
  <c r="L59" i="4"/>
  <c r="L58" i="4"/>
  <c r="L57" i="4"/>
  <c r="L74" i="4"/>
  <c r="L68" i="4"/>
  <c r="L80" i="4"/>
  <c r="L73" i="4"/>
  <c r="L67" i="4"/>
  <c r="L79" i="4"/>
  <c r="L72" i="4"/>
  <c r="L66" i="4"/>
  <c r="L78" i="4"/>
  <c r="L56" i="4"/>
  <c r="L50" i="4"/>
  <c r="L55" i="4"/>
  <c r="L49" i="4"/>
  <c r="L54" i="4"/>
  <c r="L48" i="4"/>
  <c r="L71" i="4"/>
  <c r="L65" i="4"/>
  <c r="L77" i="4"/>
  <c r="L70" i="4"/>
  <c r="L64" i="4"/>
  <c r="L76" i="4"/>
  <c r="L69" i="4"/>
  <c r="L63" i="4"/>
  <c r="L75" i="4"/>
  <c r="L53" i="4"/>
  <c r="L47" i="4"/>
  <c r="L52" i="4"/>
  <c r="L46" i="4"/>
  <c r="L51" i="4"/>
  <c r="L45" i="4"/>
  <c r="K43" i="6"/>
  <c r="K60" i="6"/>
  <c r="K78" i="6"/>
  <c r="K59" i="6"/>
  <c r="K77" i="6"/>
  <c r="K58" i="6"/>
  <c r="K76" i="6"/>
  <c r="K57" i="6"/>
  <c r="K75" i="6"/>
  <c r="K56" i="6"/>
  <c r="K74" i="6"/>
  <c r="K55" i="6"/>
  <c r="K73" i="6"/>
  <c r="K54" i="6"/>
  <c r="K72" i="6"/>
  <c r="K53" i="6"/>
  <c r="K71" i="6"/>
  <c r="K52" i="6"/>
  <c r="K70" i="6"/>
  <c r="K51" i="6"/>
  <c r="K69" i="6"/>
  <c r="K50" i="6"/>
  <c r="K68" i="6"/>
  <c r="K49" i="6"/>
  <c r="K67" i="6"/>
  <c r="K48" i="6"/>
  <c r="K66" i="6"/>
  <c r="K47" i="6"/>
  <c r="K65" i="6"/>
  <c r="K46" i="6"/>
  <c r="K64" i="6"/>
  <c r="K45" i="6"/>
  <c r="K63" i="6"/>
  <c r="K44" i="6"/>
  <c r="K62" i="6"/>
  <c r="K61" i="6"/>
  <c r="L17" i="2" l="1"/>
  <c r="L19" i="2"/>
  <c r="K45" i="5"/>
  <c r="K43" i="5"/>
  <c r="K60" i="5"/>
  <c r="K78" i="5"/>
  <c r="K59" i="5"/>
  <c r="K77" i="5"/>
  <c r="K58" i="5"/>
  <c r="K76" i="5"/>
  <c r="K57" i="5"/>
  <c r="K75" i="5"/>
  <c r="K56" i="5"/>
  <c r="K74" i="5"/>
  <c r="K55" i="5"/>
  <c r="K73" i="5"/>
  <c r="K54" i="5"/>
  <c r="K72" i="5"/>
  <c r="K53" i="5"/>
  <c r="K71" i="5"/>
  <c r="K52" i="5"/>
  <c r="K70" i="5"/>
  <c r="K51" i="5"/>
  <c r="K69" i="5"/>
  <c r="K50" i="5"/>
  <c r="K68" i="5"/>
  <c r="K49" i="5"/>
  <c r="K67" i="5"/>
  <c r="K48" i="5"/>
  <c r="K66" i="5"/>
  <c r="K47" i="5"/>
  <c r="K65" i="5"/>
  <c r="K46" i="5"/>
  <c r="K64" i="5"/>
  <c r="K63" i="5"/>
  <c r="K44" i="5"/>
  <c r="K62" i="5"/>
  <c r="K61" i="5"/>
  <c r="K7" i="5"/>
  <c r="K53" i="10"/>
  <c r="K52" i="10"/>
  <c r="K51" i="10"/>
  <c r="K50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L28" i="10" s="1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L16" i="9"/>
  <c r="K42" i="9"/>
  <c r="K41" i="9"/>
  <c r="K40" i="9"/>
  <c r="K39" i="9"/>
  <c r="L40" i="9" s="1"/>
  <c r="K46" i="9"/>
  <c r="K45" i="9"/>
  <c r="K44" i="9"/>
  <c r="K43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4" i="9"/>
  <c r="K13" i="9"/>
  <c r="K12" i="9"/>
  <c r="K11" i="9"/>
  <c r="K10" i="9"/>
  <c r="K9" i="9"/>
  <c r="K8" i="9"/>
  <c r="K7" i="9"/>
  <c r="K6" i="9"/>
  <c r="K5" i="9"/>
  <c r="K4" i="9"/>
  <c r="K3" i="9"/>
  <c r="L41" i="8"/>
  <c r="L35" i="8"/>
  <c r="L33" i="8"/>
  <c r="L31" i="8"/>
  <c r="L19" i="8"/>
  <c r="L17" i="8"/>
  <c r="L11" i="8"/>
  <c r="L9" i="8"/>
  <c r="L7" i="8"/>
  <c r="K6" i="8"/>
  <c r="K7" i="8"/>
  <c r="K8" i="8"/>
  <c r="K9" i="8"/>
  <c r="K10" i="8"/>
  <c r="K11" i="8"/>
  <c r="K12" i="8"/>
  <c r="K13" i="8"/>
  <c r="L13" i="8" s="1"/>
  <c r="K14" i="8"/>
  <c r="K15" i="8"/>
  <c r="L15" i="8" s="1"/>
  <c r="K16" i="8"/>
  <c r="K17" i="8"/>
  <c r="K18" i="8"/>
  <c r="K19" i="8"/>
  <c r="K20" i="8"/>
  <c r="K21" i="8"/>
  <c r="L21" i="8" s="1"/>
  <c r="K22" i="8"/>
  <c r="K23" i="8"/>
  <c r="L23" i="8" s="1"/>
  <c r="K24" i="8"/>
  <c r="K25" i="8"/>
  <c r="L25" i="8" s="1"/>
  <c r="K26" i="8"/>
  <c r="K27" i="8"/>
  <c r="L27" i="8" s="1"/>
  <c r="K28" i="8"/>
  <c r="K29" i="8"/>
  <c r="L29" i="8" s="1"/>
  <c r="K30" i="8"/>
  <c r="K31" i="8"/>
  <c r="K32" i="8"/>
  <c r="K33" i="8"/>
  <c r="K34" i="8"/>
  <c r="K35" i="8"/>
  <c r="K36" i="8"/>
  <c r="K37" i="8"/>
  <c r="L37" i="8" s="1"/>
  <c r="K38" i="8"/>
  <c r="K39" i="8"/>
  <c r="L39" i="8" s="1"/>
  <c r="K40" i="8"/>
  <c r="K41" i="8"/>
  <c r="K5" i="8"/>
  <c r="L5" i="8" s="1"/>
  <c r="K4" i="8"/>
  <c r="K3" i="8"/>
  <c r="L3" i="8" s="1"/>
  <c r="K2" i="8"/>
  <c r="L53" i="10" l="1"/>
  <c r="L51" i="10"/>
  <c r="L46" i="10"/>
  <c r="L44" i="10"/>
  <c r="L36" i="10"/>
  <c r="L40" i="10"/>
  <c r="L26" i="10"/>
  <c r="L24" i="10"/>
  <c r="L22" i="10"/>
  <c r="L20" i="10"/>
  <c r="L18" i="10"/>
  <c r="L14" i="10"/>
  <c r="L12" i="10"/>
  <c r="L8" i="10"/>
  <c r="L4" i="10"/>
  <c r="L16" i="10"/>
  <c r="L30" i="10"/>
  <c r="L34" i="10"/>
  <c r="L6" i="10"/>
  <c r="L10" i="10"/>
  <c r="L32" i="10"/>
  <c r="L38" i="10"/>
  <c r="L42" i="10"/>
  <c r="L42" i="9"/>
  <c r="L28" i="9"/>
  <c r="L44" i="9"/>
  <c r="L36" i="9"/>
  <c r="L32" i="9"/>
  <c r="L26" i="9"/>
  <c r="L24" i="9"/>
  <c r="L20" i="9"/>
  <c r="L12" i="9"/>
  <c r="L30" i="9"/>
  <c r="L34" i="9"/>
  <c r="L38" i="9"/>
  <c r="L22" i="9"/>
  <c r="L46" i="9"/>
  <c r="L18" i="9"/>
  <c r="L14" i="9"/>
  <c r="L10" i="9"/>
  <c r="L8" i="9"/>
  <c r="L4" i="9"/>
  <c r="L6" i="9"/>
  <c r="K41" i="7" l="1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L11" i="7" l="1"/>
  <c r="L41" i="7"/>
  <c r="L39" i="7"/>
  <c r="L37" i="7"/>
  <c r="L33" i="7"/>
  <c r="L31" i="7"/>
  <c r="L27" i="7"/>
  <c r="L25" i="7"/>
  <c r="L17" i="7"/>
  <c r="L13" i="7"/>
  <c r="L9" i="7"/>
  <c r="L3" i="7"/>
  <c r="L7" i="7"/>
  <c r="L21" i="7"/>
  <c r="L35" i="7"/>
  <c r="L15" i="7"/>
  <c r="L29" i="7"/>
  <c r="L5" i="7"/>
  <c r="L19" i="7"/>
  <c r="L23" i="7"/>
  <c r="K37" i="6" l="1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K17" i="5"/>
  <c r="K16" i="5"/>
  <c r="K15" i="5"/>
  <c r="K14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L23" i="5" s="1"/>
  <c r="K22" i="5"/>
  <c r="K21" i="5"/>
  <c r="K20" i="5"/>
  <c r="K19" i="5"/>
  <c r="L19" i="5" s="1"/>
  <c r="K18" i="5"/>
  <c r="K13" i="5"/>
  <c r="K12" i="5"/>
  <c r="K11" i="5"/>
  <c r="L11" i="5" s="1"/>
  <c r="K10" i="5"/>
  <c r="K9" i="5"/>
  <c r="K8" i="5"/>
  <c r="K6" i="5"/>
  <c r="L7" i="5" s="1"/>
  <c r="K5" i="5"/>
  <c r="K4" i="5"/>
  <c r="K3" i="5"/>
  <c r="L3" i="5" s="1"/>
  <c r="K2" i="5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K54" i="2"/>
  <c r="K53" i="2"/>
  <c r="K52" i="2"/>
  <c r="K51" i="2"/>
  <c r="K49" i="2"/>
  <c r="K48" i="2"/>
  <c r="K47" i="2"/>
  <c r="K46" i="2"/>
  <c r="K44" i="2"/>
  <c r="K43" i="2"/>
  <c r="K42" i="2"/>
  <c r="K41" i="2"/>
  <c r="K39" i="2"/>
  <c r="K38" i="2"/>
  <c r="K37" i="2"/>
  <c r="K36" i="2"/>
  <c r="K34" i="2"/>
  <c r="K33" i="2"/>
  <c r="K32" i="2"/>
  <c r="K31" i="2"/>
  <c r="K29" i="2"/>
  <c r="K28" i="2"/>
  <c r="K27" i="2"/>
  <c r="K26" i="2"/>
  <c r="K24" i="2"/>
  <c r="K23" i="2"/>
  <c r="K22" i="2"/>
  <c r="K21" i="2"/>
  <c r="K14" i="2"/>
  <c r="K13" i="2"/>
  <c r="K12" i="2"/>
  <c r="K11" i="2"/>
  <c r="K10" i="2"/>
  <c r="K9" i="2"/>
  <c r="K8" i="2"/>
  <c r="K7" i="2"/>
  <c r="K6" i="2"/>
  <c r="K5" i="2"/>
  <c r="K4" i="2"/>
  <c r="K3" i="2"/>
  <c r="L8" i="2" l="1"/>
  <c r="L10" i="2"/>
  <c r="L12" i="2"/>
  <c r="L14" i="2"/>
  <c r="L22" i="2"/>
  <c r="L24" i="2"/>
  <c r="L27" i="2"/>
  <c r="L32" i="2"/>
  <c r="L37" i="2"/>
  <c r="L39" i="2"/>
  <c r="L42" i="2"/>
  <c r="L44" i="2"/>
  <c r="L47" i="2"/>
  <c r="L52" i="2"/>
  <c r="L27" i="6"/>
  <c r="M22" i="3"/>
  <c r="L6" i="2"/>
  <c r="M31" i="4"/>
  <c r="L5" i="5"/>
  <c r="L33" i="5"/>
  <c r="L49" i="2"/>
  <c r="M10" i="3"/>
  <c r="M3" i="4"/>
  <c r="M3" i="3"/>
  <c r="M33" i="3"/>
  <c r="L34" i="2"/>
  <c r="L15" i="5"/>
  <c r="M36" i="4"/>
  <c r="L29" i="2"/>
  <c r="L54" i="2"/>
  <c r="M7" i="4"/>
  <c r="L13" i="5"/>
  <c r="L13" i="6"/>
  <c r="L25" i="5"/>
  <c r="L17" i="5"/>
  <c r="L27" i="5"/>
  <c r="M21" i="4"/>
  <c r="M15" i="4"/>
  <c r="M10" i="4"/>
  <c r="M30" i="4"/>
  <c r="M30" i="3"/>
  <c r="M12" i="3"/>
  <c r="M34" i="3"/>
  <c r="M31" i="3"/>
  <c r="M13" i="3"/>
  <c r="L11" i="6"/>
  <c r="L15" i="6"/>
  <c r="M4" i="3"/>
  <c r="M9" i="3"/>
  <c r="M27" i="3"/>
  <c r="M37" i="3"/>
  <c r="M18" i="3"/>
  <c r="M24" i="3"/>
  <c r="M28" i="3"/>
  <c r="M6" i="3"/>
  <c r="M16" i="3"/>
  <c r="M7" i="3"/>
  <c r="M15" i="3"/>
  <c r="M19" i="3"/>
  <c r="M21" i="3"/>
  <c r="M25" i="3"/>
  <c r="M36" i="3"/>
  <c r="M19" i="4"/>
  <c r="M16" i="4"/>
  <c r="M9" i="4"/>
  <c r="M34" i="4"/>
  <c r="M18" i="4"/>
  <c r="M24" i="4"/>
  <c r="M13" i="4"/>
  <c r="M6" i="4"/>
  <c r="M22" i="4"/>
  <c r="M25" i="4"/>
  <c r="M33" i="4"/>
  <c r="M37" i="4"/>
  <c r="M4" i="4"/>
  <c r="M12" i="4"/>
  <c r="M27" i="4"/>
  <c r="M28" i="4"/>
  <c r="L35" i="6"/>
  <c r="L31" i="6"/>
  <c r="L23" i="6"/>
  <c r="L19" i="6"/>
  <c r="L17" i="6"/>
  <c r="L7" i="6"/>
  <c r="L3" i="6"/>
  <c r="L21" i="6"/>
  <c r="L25" i="6"/>
  <c r="L29" i="6"/>
  <c r="L33" i="6"/>
  <c r="L5" i="6"/>
  <c r="L9" i="6"/>
  <c r="L37" i="6"/>
  <c r="L37" i="5"/>
  <c r="L35" i="5"/>
  <c r="L31" i="5"/>
  <c r="L29" i="5"/>
  <c r="L21" i="5"/>
  <c r="L9" i="5"/>
  <c r="L4" i="2"/>
  <c r="K49" i="1"/>
  <c r="K48" i="1"/>
  <c r="K47" i="1"/>
  <c r="K46" i="1"/>
  <c r="K44" i="1"/>
  <c r="K43" i="1"/>
  <c r="K42" i="1"/>
  <c r="K41" i="1"/>
  <c r="K39" i="1"/>
  <c r="L39" i="1" s="1"/>
  <c r="K38" i="1"/>
  <c r="K37" i="1"/>
  <c r="K36" i="1"/>
  <c r="K34" i="1"/>
  <c r="K33" i="1"/>
  <c r="K32" i="1"/>
  <c r="K31" i="1"/>
  <c r="L32" i="1" s="1"/>
  <c r="K29" i="1"/>
  <c r="K28" i="1"/>
  <c r="K27" i="1"/>
  <c r="K26" i="1"/>
  <c r="K24" i="1"/>
  <c r="K23" i="1"/>
  <c r="K22" i="1"/>
  <c r="K21" i="1"/>
  <c r="L22" i="1" s="1"/>
  <c r="K19" i="1"/>
  <c r="K18" i="1"/>
  <c r="L19" i="1"/>
  <c r="K17" i="1"/>
  <c r="K16" i="1"/>
  <c r="O10" i="1"/>
  <c r="O9" i="1"/>
  <c r="O8" i="1"/>
  <c r="P8" i="1" s="1"/>
  <c r="O7" i="1"/>
  <c r="O6" i="1"/>
  <c r="O5" i="1"/>
  <c r="P6" i="1"/>
  <c r="O14" i="1"/>
  <c r="O13" i="1"/>
  <c r="O12" i="1"/>
  <c r="O11" i="1"/>
  <c r="O4" i="1"/>
  <c r="O3" i="1"/>
  <c r="K8" i="1"/>
  <c r="K4" i="1"/>
  <c r="L4" i="1" s="1"/>
  <c r="K5" i="1"/>
  <c r="K6" i="1"/>
  <c r="K7" i="1"/>
  <c r="K9" i="1"/>
  <c r="K10" i="1"/>
  <c r="K11" i="1"/>
  <c r="K12" i="1"/>
  <c r="K13" i="1"/>
  <c r="K14" i="1"/>
  <c r="K3" i="1"/>
  <c r="L47" i="1" l="1"/>
  <c r="L27" i="1"/>
  <c r="P10" i="1"/>
  <c r="L29" i="1"/>
  <c r="L17" i="1"/>
  <c r="P14" i="1"/>
  <c r="L6" i="1"/>
  <c r="L49" i="1"/>
  <c r="L12" i="1"/>
  <c r="P12" i="1"/>
  <c r="L42" i="1"/>
  <c r="L34" i="1"/>
  <c r="L10" i="1"/>
  <c r="L44" i="1"/>
  <c r="L8" i="1"/>
  <c r="L24" i="1"/>
  <c r="L37" i="1"/>
  <c r="L14" i="1"/>
  <c r="P4" i="1"/>
</calcChain>
</file>

<file path=xl/sharedStrings.xml><?xml version="1.0" encoding="utf-8"?>
<sst xmlns="http://schemas.openxmlformats.org/spreadsheetml/2006/main" count="2882" uniqueCount="118">
  <si>
    <t>Experiment start date</t>
  </si>
  <si>
    <t>Image date</t>
  </si>
  <si>
    <t>Strain</t>
  </si>
  <si>
    <t>Liquid Starter culture Medium</t>
  </si>
  <si>
    <t>Experimental Medium</t>
  </si>
  <si>
    <t>Nitrogen added to AGAR medium (uM of ammonium sulfate)</t>
  </si>
  <si>
    <t>Sodium sulfide added (ug of S/L</t>
  </si>
  <si>
    <t>Days after innoculation</t>
  </si>
  <si>
    <t>Total colonies (before wash)</t>
  </si>
  <si>
    <t>Total invasive colonies (after wash)</t>
  </si>
  <si>
    <t>% of colonies with invasive growth</t>
  </si>
  <si>
    <t>Increase in % of colonies with IG with added sulfide</t>
  </si>
  <si>
    <t>1 x SLAD</t>
  </si>
  <si>
    <t xml:space="preserve">1 x SLAD </t>
  </si>
  <si>
    <t>BD agar</t>
  </si>
  <si>
    <t xml:space="preserve">2 x SLAD </t>
  </si>
  <si>
    <t>Oxoid agar</t>
  </si>
  <si>
    <t>resort for prism</t>
  </si>
  <si>
    <t>Counts of total colonies formed and how many of these had any invasive growth after washing</t>
  </si>
  <si>
    <t>Jen Gardner and Jin Zhang Nov-Dec 2019</t>
  </si>
  <si>
    <t>Agar type</t>
  </si>
  <si>
    <t>BD Agar</t>
  </si>
  <si>
    <t>Oxoid Agar</t>
  </si>
  <si>
    <t>2 x SLAD (BD agar)</t>
  </si>
  <si>
    <t>1278B</t>
  </si>
  <si>
    <t>L2056</t>
  </si>
  <si>
    <t>796 fat1</t>
  </si>
  <si>
    <t>796 gup1</t>
  </si>
  <si>
    <t>796 nrt1</t>
  </si>
  <si>
    <t>796 skp2</t>
  </si>
  <si>
    <t>796 soa1</t>
  </si>
  <si>
    <t>796 yor1</t>
  </si>
  <si>
    <t>796 cvt16</t>
  </si>
  <si>
    <t>796 cdh1</t>
  </si>
  <si>
    <t>796 tmn3</t>
  </si>
  <si>
    <t>796 pep12</t>
  </si>
  <si>
    <t>796 whi3</t>
  </si>
  <si>
    <t>796 vsp28</t>
  </si>
  <si>
    <t>796 msa1</t>
  </si>
  <si>
    <t>796 ccz1</t>
  </si>
  <si>
    <t>796 yps8</t>
  </si>
  <si>
    <t>2019_11_29</t>
  </si>
  <si>
    <t>2019_12_02</t>
  </si>
  <si>
    <t>2 x SLAD</t>
  </si>
  <si>
    <t>2 x SLAD + 200 ug S/L</t>
  </si>
  <si>
    <t>2019_12_03</t>
  </si>
  <si>
    <t xml:space="preserve"> 796 alr2</t>
  </si>
  <si>
    <t xml:space="preserve"> 796 ato3</t>
  </si>
  <si>
    <t xml:space="preserve"> 796 dur3</t>
  </si>
  <si>
    <t xml:space="preserve"> 796 fui1</t>
  </si>
  <si>
    <t xml:space="preserve"> 796 mid1</t>
  </si>
  <si>
    <t xml:space="preserve"> 796 msb2</t>
  </si>
  <si>
    <t xml:space="preserve"> 796 tpo4</t>
  </si>
  <si>
    <t>Total colony images taken</t>
  </si>
  <si>
    <t xml:space="preserve">Total colony images with invasive growth </t>
  </si>
  <si>
    <t>% of imaged colonies with invasive growth</t>
  </si>
  <si>
    <t>Increase in % of imaged colonies with IG with added sulfide</t>
  </si>
  <si>
    <t>2019_12_05</t>
  </si>
  <si>
    <t>List of target yeast deletion mutats:</t>
  </si>
  <si>
    <t>alr2</t>
  </si>
  <si>
    <t>ato3</t>
  </si>
  <si>
    <t>ccz1</t>
  </si>
  <si>
    <t>cdh1</t>
  </si>
  <si>
    <t>cvt16</t>
  </si>
  <si>
    <t>cys3</t>
  </si>
  <si>
    <t>dur3</t>
  </si>
  <si>
    <t>fat1</t>
  </si>
  <si>
    <t>fui1</t>
  </si>
  <si>
    <t>gup1</t>
  </si>
  <si>
    <t>mid1</t>
  </si>
  <si>
    <t>msa1</t>
  </si>
  <si>
    <t>msb2</t>
  </si>
  <si>
    <t>nrt1</t>
  </si>
  <si>
    <t>pep12</t>
  </si>
  <si>
    <t>pma2</t>
  </si>
  <si>
    <t>put4</t>
  </si>
  <si>
    <t>rps8</t>
  </si>
  <si>
    <t>sac3</t>
  </si>
  <si>
    <t>skp2</t>
  </si>
  <si>
    <t>soa1</t>
  </si>
  <si>
    <t>tmn3</t>
  </si>
  <si>
    <t>tpo4</t>
  </si>
  <si>
    <t>vht1</t>
  </si>
  <si>
    <t>vps28</t>
  </si>
  <si>
    <t>whi3</t>
  </si>
  <si>
    <t>yhl008c</t>
  </si>
  <si>
    <t>yor1</t>
  </si>
  <si>
    <t>796 pma2</t>
  </si>
  <si>
    <t>796 put4</t>
  </si>
  <si>
    <t>796 vht1</t>
  </si>
  <si>
    <t>796 sac3</t>
  </si>
  <si>
    <t>796 yhl008c J1</t>
  </si>
  <si>
    <t>796 yhl008c J4</t>
  </si>
  <si>
    <t>796 dur3</t>
  </si>
  <si>
    <t>79 alr2</t>
  </si>
  <si>
    <t>*grew longer as slow growing mutant</t>
  </si>
  <si>
    <t xml:space="preserve"> 797 alr2</t>
  </si>
  <si>
    <t xml:space="preserve"> 798 alr2</t>
  </si>
  <si>
    <t xml:space="preserve"> 799 alr2</t>
  </si>
  <si>
    <t xml:space="preserve"> 797 ato3</t>
  </si>
  <si>
    <t xml:space="preserve"> 798 ato3</t>
  </si>
  <si>
    <t xml:space="preserve"> 799 ato3</t>
  </si>
  <si>
    <t xml:space="preserve"> 797 dur3</t>
  </si>
  <si>
    <t xml:space="preserve"> 798 dur3</t>
  </si>
  <si>
    <t xml:space="preserve"> 799 dur3</t>
  </si>
  <si>
    <t xml:space="preserve"> 797 fui1</t>
  </si>
  <si>
    <t xml:space="preserve"> 798 fui1</t>
  </si>
  <si>
    <t xml:space="preserve"> 799 fui1</t>
  </si>
  <si>
    <t xml:space="preserve"> 797 mid1</t>
  </si>
  <si>
    <t xml:space="preserve"> 798 mid1</t>
  </si>
  <si>
    <t xml:space="preserve"> 799 mid1</t>
  </si>
  <si>
    <t xml:space="preserve"> 797 msb2</t>
  </si>
  <si>
    <t xml:space="preserve"> 798 msb2</t>
  </si>
  <si>
    <t xml:space="preserve"> 799 msb2</t>
  </si>
  <si>
    <t xml:space="preserve"> 797 tpo4</t>
  </si>
  <si>
    <t xml:space="preserve"> 798 tpo4</t>
  </si>
  <si>
    <t xml:space="preserve"> 799 tpo4</t>
  </si>
  <si>
    <t>agar_type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</si>
</sst>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6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9" fontId="0" fillId="0" borderId="0" xfId="0" applyNumberFormat="1"/>
    <xf numFmtId="0" fontId="0" fillId="2" borderId="0" xfId="0" applyFill="1" applyAlignment="1">
      <alignment wrapText="1"/>
    </xf>
    <xf numFmtId="0" fontId="0" fillId="2" borderId="0" xfId="0" applyFill="1"/>
    <xf numFmtId="9" fontId="0" fillId="2" borderId="0" xfId="0" applyNumberFormat="1" applyFill="1"/>
    <xf numFmtId="0" fontId="0" fillId="3" borderId="0" xfId="0" applyFill="1"/>
    <xf numFmtId="9" fontId="0" fillId="3" borderId="0" xfId="0" applyNumberFormat="1" applyFill="1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 applyAlignment="1">
      <alignment wrapText="1"/>
    </xf>
    <xf numFmtId="14" fontId="7" fillId="0" borderId="0" xfId="0" applyNumberFormat="1" applyFont="1"/>
    <xf numFmtId="0" fontId="7" fillId="0" borderId="0" xfId="0" applyFont="1"/>
    <xf numFmtId="9" fontId="7" fillId="0" borderId="0" xfId="0" applyNumberFormat="1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</cellXfs>
  <cellStyles count="69">
    <cellStyle name="Followed Hyperlink" xfId="68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49" builtinId="8" hidden="1"/>
    <cellStyle name="Hyperlink" xfId="51" builtinId="8" hidden="1"/>
    <cellStyle name="Hyperlink" xfId="55" builtinId="8" hidden="1"/>
    <cellStyle name="Hyperlink" xfId="57" builtinId="8" hidden="1"/>
    <cellStyle name="Hyperlink" xfId="59" builtinId="8" hidden="1"/>
    <cellStyle name="Hyperlink" xfId="63" builtinId="8" hidden="1"/>
    <cellStyle name="Hyperlink" xfId="65" builtinId="8" hidden="1"/>
    <cellStyle name="Hyperlink" xfId="67" builtinId="8" hidden="1"/>
    <cellStyle name="Hyperlink" xfId="61" builtinId="8" hidden="1"/>
    <cellStyle name="Hyperlink" xfId="53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7" builtinId="8" hidden="1"/>
    <cellStyle name="Hyperlink" xfId="45" builtinId="8" hidden="1"/>
    <cellStyle name="Hyperlink" xfId="29" builtinId="8" hidden="1"/>
    <cellStyle name="Hyperlink" xfId="9" builtinId="8" hidden="1"/>
    <cellStyle name="Hyperlink" xfId="11" builtinId="8" hidden="1"/>
    <cellStyle name="Hyperlink" xfId="15" builtinId="8" hidden="1"/>
    <cellStyle name="Hyperlink" xfId="17" builtinId="8" hidden="1"/>
    <cellStyle name="Hyperlink" xfId="19" builtinId="8" hidden="1"/>
    <cellStyle name="Hyperlink" xfId="13" builtinId="8" hidden="1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E1</a:t>
            </a:r>
            <a:r>
              <a:rPr lang="en-US" baseline="0"/>
              <a:t> Day 4 (Exp C) 14/11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 w="317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multiLvlStrRef>
              <c:f>'E1 (Exp C) Day 3 (11_11)'!$C$2:$I$37</c:f>
              <c:multiLvlStrCache>
                <c:ptCount val="36"/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3</c:v>
                  </c:pt>
                  <c:pt idx="8">
                    <c:v>3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  <c:pt idx="12">
                    <c:v>3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3</c:v>
                  </c:pt>
                  <c:pt idx="17">
                    <c:v>3</c:v>
                  </c:pt>
                  <c:pt idx="18">
                    <c:v>3</c:v>
                  </c:pt>
                  <c:pt idx="19">
                    <c:v>3</c:v>
                  </c:pt>
                  <c:pt idx="20">
                    <c:v>3</c:v>
                  </c:pt>
                  <c:pt idx="21">
                    <c:v>3</c:v>
                  </c:pt>
                  <c:pt idx="22">
                    <c:v>3</c:v>
                  </c:pt>
                  <c:pt idx="23">
                    <c:v>3</c:v>
                  </c:pt>
                  <c:pt idx="24">
                    <c:v>3</c:v>
                  </c:pt>
                  <c:pt idx="25">
                    <c:v>3</c:v>
                  </c:pt>
                  <c:pt idx="26">
                    <c:v>3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3</c:v>
                  </c:pt>
                  <c:pt idx="31">
                    <c:v>3</c:v>
                  </c:pt>
                  <c:pt idx="32">
                    <c:v>3</c:v>
                  </c:pt>
                  <c:pt idx="33">
                    <c:v>3</c:v>
                  </c:pt>
                  <c:pt idx="34">
                    <c:v>3</c:v>
                  </c:pt>
                  <c:pt idx="35">
                    <c:v>3</c:v>
                  </c:pt>
                </c:lvl>
                <c:lvl>
                  <c:pt idx="1">
                    <c:v>400</c:v>
                  </c:pt>
                  <c:pt idx="2">
                    <c:v>750</c:v>
                  </c:pt>
                  <c:pt idx="4">
                    <c:v>400</c:v>
                  </c:pt>
                  <c:pt idx="5">
                    <c:v>750</c:v>
                  </c:pt>
                  <c:pt idx="7">
                    <c:v>400</c:v>
                  </c:pt>
                  <c:pt idx="8">
                    <c:v>750</c:v>
                  </c:pt>
                  <c:pt idx="10">
                    <c:v>400</c:v>
                  </c:pt>
                  <c:pt idx="11">
                    <c:v>750</c:v>
                  </c:pt>
                  <c:pt idx="13">
                    <c:v>400</c:v>
                  </c:pt>
                  <c:pt idx="14">
                    <c:v>750</c:v>
                  </c:pt>
                  <c:pt idx="16">
                    <c:v>400</c:v>
                  </c:pt>
                  <c:pt idx="17">
                    <c:v>750</c:v>
                  </c:pt>
                  <c:pt idx="19">
                    <c:v>400</c:v>
                  </c:pt>
                  <c:pt idx="20">
                    <c:v>750</c:v>
                  </c:pt>
                  <c:pt idx="22">
                    <c:v>400</c:v>
                  </c:pt>
                  <c:pt idx="23">
                    <c:v>750</c:v>
                  </c:pt>
                  <c:pt idx="25">
                    <c:v>400</c:v>
                  </c:pt>
                  <c:pt idx="26">
                    <c:v>750</c:v>
                  </c:pt>
                  <c:pt idx="28">
                    <c:v>400</c:v>
                  </c:pt>
                  <c:pt idx="29">
                    <c:v>750</c:v>
                  </c:pt>
                  <c:pt idx="31">
                    <c:v>400</c:v>
                  </c:pt>
                  <c:pt idx="32">
                    <c:v>750</c:v>
                  </c:pt>
                  <c:pt idx="34">
                    <c:v>400</c:v>
                  </c:pt>
                  <c:pt idx="35">
                    <c:v>750</c:v>
                  </c:pt>
                </c:lvl>
                <c:lvl>
                  <c:pt idx="0">
                    <c:v>50</c:v>
                  </c:pt>
                  <c:pt idx="1">
                    <c:v>50</c:v>
                  </c:pt>
                  <c:pt idx="2">
                    <c:v>50</c:v>
                  </c:pt>
                  <c:pt idx="3">
                    <c:v>75</c:v>
                  </c:pt>
                  <c:pt idx="4">
                    <c:v>75</c:v>
                  </c:pt>
                  <c:pt idx="5">
                    <c:v>75</c:v>
                  </c:pt>
                  <c:pt idx="6">
                    <c:v>100</c:v>
                  </c:pt>
                  <c:pt idx="7">
                    <c:v>100</c:v>
                  </c:pt>
                  <c:pt idx="8">
                    <c:v>100</c:v>
                  </c:pt>
                  <c:pt idx="9">
                    <c:v>50</c:v>
                  </c:pt>
                  <c:pt idx="10">
                    <c:v>50</c:v>
                  </c:pt>
                  <c:pt idx="11">
                    <c:v>50</c:v>
                  </c:pt>
                  <c:pt idx="12">
                    <c:v>75</c:v>
                  </c:pt>
                  <c:pt idx="13">
                    <c:v>75</c:v>
                  </c:pt>
                  <c:pt idx="14">
                    <c:v>75</c:v>
                  </c:pt>
                  <c:pt idx="15">
                    <c:v>100</c:v>
                  </c:pt>
                  <c:pt idx="16">
                    <c:v>100</c:v>
                  </c:pt>
                  <c:pt idx="17">
                    <c:v>100</c:v>
                  </c:pt>
                  <c:pt idx="18">
                    <c:v>50</c:v>
                  </c:pt>
                  <c:pt idx="19">
                    <c:v>50</c:v>
                  </c:pt>
                  <c:pt idx="20">
                    <c:v>50</c:v>
                  </c:pt>
                  <c:pt idx="21">
                    <c:v>75</c:v>
                  </c:pt>
                  <c:pt idx="22">
                    <c:v>75</c:v>
                  </c:pt>
                  <c:pt idx="23">
                    <c:v>75</c:v>
                  </c:pt>
                  <c:pt idx="24">
                    <c:v>100</c:v>
                  </c:pt>
                  <c:pt idx="25">
                    <c:v>100</c:v>
                  </c:pt>
                  <c:pt idx="26">
                    <c:v>100</c:v>
                  </c:pt>
                  <c:pt idx="27">
                    <c:v>50</c:v>
                  </c:pt>
                  <c:pt idx="28">
                    <c:v>50</c:v>
                  </c:pt>
                  <c:pt idx="29">
                    <c:v>50</c:v>
                  </c:pt>
                  <c:pt idx="30">
                    <c:v>75</c:v>
                  </c:pt>
                  <c:pt idx="31">
                    <c:v>75</c:v>
                  </c:pt>
                  <c:pt idx="32">
                    <c:v>75</c:v>
                  </c:pt>
                  <c:pt idx="33">
                    <c:v>100</c:v>
                  </c:pt>
                  <c:pt idx="34">
                    <c:v>100</c:v>
                  </c:pt>
                  <c:pt idx="35">
                    <c:v>100</c:v>
                  </c:pt>
                </c:lvl>
                <c:lvl>
                  <c:pt idx="0">
                    <c:v>BD agar</c:v>
                  </c:pt>
                  <c:pt idx="1">
                    <c:v>BD agar</c:v>
                  </c:pt>
                  <c:pt idx="2">
                    <c:v>BD agar</c:v>
                  </c:pt>
                  <c:pt idx="3">
                    <c:v>BD agar</c:v>
                  </c:pt>
                  <c:pt idx="4">
                    <c:v>BD agar</c:v>
                  </c:pt>
                  <c:pt idx="5">
                    <c:v>BD agar</c:v>
                  </c:pt>
                  <c:pt idx="6">
                    <c:v>BD agar</c:v>
                  </c:pt>
                  <c:pt idx="7">
                    <c:v>BD agar</c:v>
                  </c:pt>
                  <c:pt idx="8">
                    <c:v>BD agar</c:v>
                  </c:pt>
                  <c:pt idx="9">
                    <c:v>BD agar</c:v>
                  </c:pt>
                  <c:pt idx="10">
                    <c:v>BD agar</c:v>
                  </c:pt>
                  <c:pt idx="11">
                    <c:v>BD agar</c:v>
                  </c:pt>
                  <c:pt idx="12">
                    <c:v>BD agar</c:v>
                  </c:pt>
                  <c:pt idx="13">
                    <c:v>BD agar</c:v>
                  </c:pt>
                  <c:pt idx="14">
                    <c:v>BD agar</c:v>
                  </c:pt>
                  <c:pt idx="15">
                    <c:v>BD agar</c:v>
                  </c:pt>
                  <c:pt idx="16">
                    <c:v>BD agar</c:v>
                  </c:pt>
                  <c:pt idx="17">
                    <c:v>BD agar</c:v>
                  </c:pt>
                  <c:pt idx="18">
                    <c:v>Oxoid agar</c:v>
                  </c:pt>
                  <c:pt idx="19">
                    <c:v>Oxoid agar</c:v>
                  </c:pt>
                  <c:pt idx="20">
                    <c:v>Oxoid agar</c:v>
                  </c:pt>
                  <c:pt idx="21">
                    <c:v>Oxoid agar</c:v>
                  </c:pt>
                  <c:pt idx="22">
                    <c:v>Oxoid agar</c:v>
                  </c:pt>
                  <c:pt idx="23">
                    <c:v>Oxoid agar</c:v>
                  </c:pt>
                  <c:pt idx="24">
                    <c:v>Oxoid agar</c:v>
                  </c:pt>
                  <c:pt idx="25">
                    <c:v>Oxoid agar</c:v>
                  </c:pt>
                  <c:pt idx="26">
                    <c:v>Oxoid agar</c:v>
                  </c:pt>
                  <c:pt idx="27">
                    <c:v>Oxoid agar</c:v>
                  </c:pt>
                  <c:pt idx="28">
                    <c:v>Oxoid agar</c:v>
                  </c:pt>
                  <c:pt idx="29">
                    <c:v>Oxoid agar</c:v>
                  </c:pt>
                  <c:pt idx="30">
                    <c:v>Oxoid agar</c:v>
                  </c:pt>
                  <c:pt idx="31">
                    <c:v>Oxoid agar</c:v>
                  </c:pt>
                  <c:pt idx="32">
                    <c:v>Oxoid agar</c:v>
                  </c:pt>
                  <c:pt idx="33">
                    <c:v>Oxoid agar</c:v>
                  </c:pt>
                  <c:pt idx="34">
                    <c:v>Oxoid agar</c:v>
                  </c:pt>
                  <c:pt idx="35">
                    <c:v>Oxoid agar</c:v>
                  </c:pt>
                </c:lvl>
                <c:lvl>
                  <c:pt idx="0">
                    <c:v>1 x SLAD </c:v>
                  </c:pt>
                  <c:pt idx="1">
                    <c:v>1 x SLAD </c:v>
                  </c:pt>
                  <c:pt idx="2">
                    <c:v>1 x SLAD </c:v>
                  </c:pt>
                  <c:pt idx="3">
                    <c:v>1 x SLAD </c:v>
                  </c:pt>
                  <c:pt idx="4">
                    <c:v>1 x SLAD </c:v>
                  </c:pt>
                  <c:pt idx="5">
                    <c:v>1 x SLAD </c:v>
                  </c:pt>
                  <c:pt idx="6">
                    <c:v>1 x SLAD </c:v>
                  </c:pt>
                  <c:pt idx="7">
                    <c:v>1 x SLAD </c:v>
                  </c:pt>
                  <c:pt idx="8">
                    <c:v>1 x SLAD </c:v>
                  </c:pt>
                  <c:pt idx="9">
                    <c:v>2 x SLAD </c:v>
                  </c:pt>
                  <c:pt idx="10">
                    <c:v>2 x SLAD </c:v>
                  </c:pt>
                  <c:pt idx="11">
                    <c:v>2 x SLAD </c:v>
                  </c:pt>
                  <c:pt idx="12">
                    <c:v>2 x SLAD </c:v>
                  </c:pt>
                  <c:pt idx="13">
                    <c:v>2 x SLAD </c:v>
                  </c:pt>
                  <c:pt idx="14">
                    <c:v>2 x SLAD </c:v>
                  </c:pt>
                  <c:pt idx="15">
                    <c:v>2 x SLAD </c:v>
                  </c:pt>
                  <c:pt idx="16">
                    <c:v>2 x SLAD </c:v>
                  </c:pt>
                  <c:pt idx="17">
                    <c:v>2 x SLAD </c:v>
                  </c:pt>
                  <c:pt idx="18">
                    <c:v>1 x SLAD </c:v>
                  </c:pt>
                  <c:pt idx="19">
                    <c:v>1 x SLAD </c:v>
                  </c:pt>
                  <c:pt idx="20">
                    <c:v>1 x SLAD </c:v>
                  </c:pt>
                  <c:pt idx="21">
                    <c:v>1 x SLAD </c:v>
                  </c:pt>
                  <c:pt idx="22">
                    <c:v>1 x SLAD </c:v>
                  </c:pt>
                  <c:pt idx="23">
                    <c:v>1 x SLAD </c:v>
                  </c:pt>
                  <c:pt idx="24">
                    <c:v>1 x SLAD </c:v>
                  </c:pt>
                  <c:pt idx="25">
                    <c:v>1 x SLAD </c:v>
                  </c:pt>
                  <c:pt idx="26">
                    <c:v>1 x SLAD </c:v>
                  </c:pt>
                  <c:pt idx="27">
                    <c:v>2 x SLAD </c:v>
                  </c:pt>
                  <c:pt idx="28">
                    <c:v>2 x SLAD </c:v>
                  </c:pt>
                  <c:pt idx="29">
                    <c:v>2 x SLAD </c:v>
                  </c:pt>
                  <c:pt idx="30">
                    <c:v>2 x SLAD </c:v>
                  </c:pt>
                  <c:pt idx="31">
                    <c:v>2 x SLAD </c:v>
                  </c:pt>
                  <c:pt idx="32">
                    <c:v>2 x SLAD </c:v>
                  </c:pt>
                  <c:pt idx="33">
                    <c:v>2 x SLAD </c:v>
                  </c:pt>
                  <c:pt idx="34">
                    <c:v>2 x SLAD </c:v>
                  </c:pt>
                  <c:pt idx="35">
                    <c:v>2 x SLAD </c:v>
                  </c:pt>
                </c:lvl>
                <c:lvl>
                  <c:pt idx="0">
                    <c:v>1 x SLAD</c:v>
                  </c:pt>
                  <c:pt idx="1">
                    <c:v>1 x SLAD</c:v>
                  </c:pt>
                  <c:pt idx="2">
                    <c:v>1 x SLAD</c:v>
                  </c:pt>
                  <c:pt idx="3">
                    <c:v>1 x SLAD</c:v>
                  </c:pt>
                  <c:pt idx="4">
                    <c:v>1 x SLAD</c:v>
                  </c:pt>
                  <c:pt idx="5">
                    <c:v>1 x SLAD</c:v>
                  </c:pt>
                  <c:pt idx="6">
                    <c:v>1 x SLAD</c:v>
                  </c:pt>
                  <c:pt idx="7">
                    <c:v>1 x SLAD</c:v>
                  </c:pt>
                  <c:pt idx="8">
                    <c:v>1 x SLAD</c:v>
                  </c:pt>
                  <c:pt idx="9">
                    <c:v>1 x SLAD</c:v>
                  </c:pt>
                  <c:pt idx="10">
                    <c:v>1 x SLAD</c:v>
                  </c:pt>
                  <c:pt idx="11">
                    <c:v>1 x SLAD</c:v>
                  </c:pt>
                  <c:pt idx="12">
                    <c:v>1 x SLAD</c:v>
                  </c:pt>
                  <c:pt idx="13">
                    <c:v>1 x SLAD</c:v>
                  </c:pt>
                  <c:pt idx="14">
                    <c:v>1 x SLAD</c:v>
                  </c:pt>
                  <c:pt idx="15">
                    <c:v>1 x SLAD</c:v>
                  </c:pt>
                  <c:pt idx="16">
                    <c:v>1 x SLAD</c:v>
                  </c:pt>
                  <c:pt idx="17">
                    <c:v>1 x SLAD</c:v>
                  </c:pt>
                  <c:pt idx="18">
                    <c:v>1 x SLAD</c:v>
                  </c:pt>
                  <c:pt idx="19">
                    <c:v>1 x SLAD</c:v>
                  </c:pt>
                  <c:pt idx="20">
                    <c:v>1 x SLAD</c:v>
                  </c:pt>
                  <c:pt idx="21">
                    <c:v>1 x SLAD</c:v>
                  </c:pt>
                  <c:pt idx="22">
                    <c:v>1 x SLAD</c:v>
                  </c:pt>
                  <c:pt idx="23">
                    <c:v>1 x SLAD</c:v>
                  </c:pt>
                  <c:pt idx="24">
                    <c:v>1 x SLAD</c:v>
                  </c:pt>
                  <c:pt idx="25">
                    <c:v>1 x SLAD</c:v>
                  </c:pt>
                  <c:pt idx="26">
                    <c:v>1 x SLAD</c:v>
                  </c:pt>
                  <c:pt idx="27">
                    <c:v>1 x SLAD</c:v>
                  </c:pt>
                  <c:pt idx="28">
                    <c:v>1 x SLAD</c:v>
                  </c:pt>
                  <c:pt idx="29">
                    <c:v>1 x SLAD</c:v>
                  </c:pt>
                  <c:pt idx="30">
                    <c:v>1 x SLAD</c:v>
                  </c:pt>
                  <c:pt idx="31">
                    <c:v>1 x SLAD</c:v>
                  </c:pt>
                  <c:pt idx="32">
                    <c:v>1 x SLAD</c:v>
                  </c:pt>
                  <c:pt idx="33">
                    <c:v>1 x SLAD</c:v>
                  </c:pt>
                  <c:pt idx="34">
                    <c:v>1 x SLAD</c:v>
                  </c:pt>
                  <c:pt idx="35">
                    <c:v>1 x SLAD</c:v>
                  </c:pt>
                </c:lvl>
                <c:lvl>
                  <c:pt idx="0">
                    <c:v>796</c:v>
                  </c:pt>
                  <c:pt idx="1">
                    <c:v>796</c:v>
                  </c:pt>
                  <c:pt idx="2">
                    <c:v>796</c:v>
                  </c:pt>
                  <c:pt idx="3">
                    <c:v>796</c:v>
                  </c:pt>
                  <c:pt idx="4">
                    <c:v>796</c:v>
                  </c:pt>
                  <c:pt idx="5">
                    <c:v>796</c:v>
                  </c:pt>
                  <c:pt idx="6">
                    <c:v>796</c:v>
                  </c:pt>
                  <c:pt idx="7">
                    <c:v>796</c:v>
                  </c:pt>
                  <c:pt idx="8">
                    <c:v>796</c:v>
                  </c:pt>
                  <c:pt idx="9">
                    <c:v>796</c:v>
                  </c:pt>
                  <c:pt idx="10">
                    <c:v>796</c:v>
                  </c:pt>
                  <c:pt idx="11">
                    <c:v>796</c:v>
                  </c:pt>
                  <c:pt idx="12">
                    <c:v>796</c:v>
                  </c:pt>
                  <c:pt idx="13">
                    <c:v>796</c:v>
                  </c:pt>
                  <c:pt idx="14">
                    <c:v>796</c:v>
                  </c:pt>
                  <c:pt idx="15">
                    <c:v>796</c:v>
                  </c:pt>
                  <c:pt idx="16">
                    <c:v>796</c:v>
                  </c:pt>
                  <c:pt idx="17">
                    <c:v>796</c:v>
                  </c:pt>
                  <c:pt idx="18">
                    <c:v>796</c:v>
                  </c:pt>
                  <c:pt idx="19">
                    <c:v>796</c:v>
                  </c:pt>
                  <c:pt idx="20">
                    <c:v>796</c:v>
                  </c:pt>
                  <c:pt idx="21">
                    <c:v>796</c:v>
                  </c:pt>
                  <c:pt idx="22">
                    <c:v>796</c:v>
                  </c:pt>
                  <c:pt idx="23">
                    <c:v>796</c:v>
                  </c:pt>
                  <c:pt idx="24">
                    <c:v>796</c:v>
                  </c:pt>
                  <c:pt idx="25">
                    <c:v>796</c:v>
                  </c:pt>
                  <c:pt idx="26">
                    <c:v>796</c:v>
                  </c:pt>
                  <c:pt idx="27">
                    <c:v>796</c:v>
                  </c:pt>
                  <c:pt idx="28">
                    <c:v>796</c:v>
                  </c:pt>
                  <c:pt idx="29">
                    <c:v>796</c:v>
                  </c:pt>
                  <c:pt idx="30">
                    <c:v>796</c:v>
                  </c:pt>
                  <c:pt idx="31">
                    <c:v>796</c:v>
                  </c:pt>
                  <c:pt idx="32">
                    <c:v>796</c:v>
                  </c:pt>
                  <c:pt idx="33">
                    <c:v>796</c:v>
                  </c:pt>
                  <c:pt idx="34">
                    <c:v>796</c:v>
                  </c:pt>
                  <c:pt idx="35">
                    <c:v>796</c:v>
                  </c:pt>
                </c:lvl>
              </c:multiLvlStrCache>
            </c:multiLvlStrRef>
          </c:cat>
          <c:val>
            <c:numRef>
              <c:f>'E1 (Exp C) Day 3 (11_11)'!$M$2:$M$37</c:f>
              <c:numCache>
                <c:formatCode>0%</c:formatCode>
                <c:ptCount val="36"/>
                <c:pt idx="1">
                  <c:v>0</c:v>
                </c:pt>
                <c:pt idx="2">
                  <c:v>0.1702127659574468</c:v>
                </c:pt>
                <c:pt idx="4">
                  <c:v>2.0408163265306121E-2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0.6</c:v>
                </c:pt>
                <c:pt idx="13">
                  <c:v>0.89795918367346939</c:v>
                </c:pt>
                <c:pt idx="14">
                  <c:v>0.39795918367346939</c:v>
                </c:pt>
                <c:pt idx="16">
                  <c:v>0</c:v>
                </c:pt>
                <c:pt idx="17">
                  <c:v>2.3255813953488372E-2</c:v>
                </c:pt>
                <c:pt idx="19">
                  <c:v>-0.8307692307692307</c:v>
                </c:pt>
                <c:pt idx="20">
                  <c:v>1.3986013986013734E-3</c:v>
                </c:pt>
                <c:pt idx="22">
                  <c:v>-0.5</c:v>
                </c:pt>
                <c:pt idx="23">
                  <c:v>-0.38</c:v>
                </c:pt>
                <c:pt idx="25">
                  <c:v>-0.12657771366750811</c:v>
                </c:pt>
                <c:pt idx="26">
                  <c:v>0.24576271186440679</c:v>
                </c:pt>
                <c:pt idx="28">
                  <c:v>-0.13793103448275867</c:v>
                </c:pt>
                <c:pt idx="29">
                  <c:v>-0.22222222222222221</c:v>
                </c:pt>
                <c:pt idx="31">
                  <c:v>0</c:v>
                </c:pt>
                <c:pt idx="32">
                  <c:v>-3.9215686274509776E-2</c:v>
                </c:pt>
                <c:pt idx="34">
                  <c:v>-0.875</c:v>
                </c:pt>
                <c:pt idx="35">
                  <c:v>-0.11627906976744184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4-E741-802B-319071541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123935"/>
        <c:axId val="765787551"/>
      </c:barChart>
      <c:catAx>
        <c:axId val="76612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87551"/>
        <c:crosses val="autoZero"/>
        <c:auto val="1"/>
        <c:lblAlgn val="ctr"/>
        <c:lblOffset val="100"/>
        <c:noMultiLvlLbl val="0"/>
      </c:catAx>
      <c:valAx>
        <c:axId val="765787551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2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E1</a:t>
            </a:r>
            <a:r>
              <a:rPr lang="en-US" baseline="0"/>
              <a:t> Day 6 (Exp C) 14/11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 w="317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multiLvlStrRef>
              <c:f>'E1 (Exp C) Day 6 (14_11) '!$C$2:$H$37</c:f>
              <c:multiLvlStrCache>
                <c:ptCount val="36"/>
                <c:lvl>
                  <c:pt idx="1">
                    <c:v>400</c:v>
                  </c:pt>
                  <c:pt idx="2">
                    <c:v>750</c:v>
                  </c:pt>
                  <c:pt idx="4">
                    <c:v>400</c:v>
                  </c:pt>
                  <c:pt idx="5">
                    <c:v>750</c:v>
                  </c:pt>
                  <c:pt idx="7">
                    <c:v>400</c:v>
                  </c:pt>
                  <c:pt idx="8">
                    <c:v>750</c:v>
                  </c:pt>
                  <c:pt idx="10">
                    <c:v>400</c:v>
                  </c:pt>
                  <c:pt idx="11">
                    <c:v>750</c:v>
                  </c:pt>
                  <c:pt idx="13">
                    <c:v>400</c:v>
                  </c:pt>
                  <c:pt idx="14">
                    <c:v>750</c:v>
                  </c:pt>
                  <c:pt idx="16">
                    <c:v>400</c:v>
                  </c:pt>
                  <c:pt idx="17">
                    <c:v>750</c:v>
                  </c:pt>
                  <c:pt idx="19">
                    <c:v>400</c:v>
                  </c:pt>
                  <c:pt idx="20">
                    <c:v>750</c:v>
                  </c:pt>
                  <c:pt idx="22">
                    <c:v>400</c:v>
                  </c:pt>
                  <c:pt idx="23">
                    <c:v>750</c:v>
                  </c:pt>
                  <c:pt idx="25">
                    <c:v>400</c:v>
                  </c:pt>
                  <c:pt idx="26">
                    <c:v>750</c:v>
                  </c:pt>
                  <c:pt idx="28">
                    <c:v>400</c:v>
                  </c:pt>
                  <c:pt idx="29">
                    <c:v>750</c:v>
                  </c:pt>
                  <c:pt idx="31">
                    <c:v>400</c:v>
                  </c:pt>
                  <c:pt idx="32">
                    <c:v>750</c:v>
                  </c:pt>
                  <c:pt idx="34">
                    <c:v>400</c:v>
                  </c:pt>
                  <c:pt idx="35">
                    <c:v>750</c:v>
                  </c:pt>
                </c:lvl>
                <c:lvl>
                  <c:pt idx="0">
                    <c:v>50</c:v>
                  </c:pt>
                  <c:pt idx="1">
                    <c:v>50</c:v>
                  </c:pt>
                  <c:pt idx="2">
                    <c:v>50</c:v>
                  </c:pt>
                  <c:pt idx="3">
                    <c:v>75</c:v>
                  </c:pt>
                  <c:pt idx="4">
                    <c:v>75</c:v>
                  </c:pt>
                  <c:pt idx="5">
                    <c:v>75</c:v>
                  </c:pt>
                  <c:pt idx="6">
                    <c:v>100</c:v>
                  </c:pt>
                  <c:pt idx="7">
                    <c:v>100</c:v>
                  </c:pt>
                  <c:pt idx="8">
                    <c:v>100</c:v>
                  </c:pt>
                  <c:pt idx="9">
                    <c:v>50</c:v>
                  </c:pt>
                  <c:pt idx="10">
                    <c:v>50</c:v>
                  </c:pt>
                  <c:pt idx="11">
                    <c:v>50</c:v>
                  </c:pt>
                  <c:pt idx="12">
                    <c:v>75</c:v>
                  </c:pt>
                  <c:pt idx="13">
                    <c:v>75</c:v>
                  </c:pt>
                  <c:pt idx="14">
                    <c:v>75</c:v>
                  </c:pt>
                  <c:pt idx="15">
                    <c:v>100</c:v>
                  </c:pt>
                  <c:pt idx="16">
                    <c:v>100</c:v>
                  </c:pt>
                  <c:pt idx="17">
                    <c:v>100</c:v>
                  </c:pt>
                  <c:pt idx="18">
                    <c:v>50</c:v>
                  </c:pt>
                  <c:pt idx="19">
                    <c:v>50</c:v>
                  </c:pt>
                  <c:pt idx="20">
                    <c:v>50</c:v>
                  </c:pt>
                  <c:pt idx="21">
                    <c:v>75</c:v>
                  </c:pt>
                  <c:pt idx="22">
                    <c:v>75</c:v>
                  </c:pt>
                  <c:pt idx="23">
                    <c:v>75</c:v>
                  </c:pt>
                  <c:pt idx="24">
                    <c:v>100</c:v>
                  </c:pt>
                  <c:pt idx="25">
                    <c:v>100</c:v>
                  </c:pt>
                  <c:pt idx="26">
                    <c:v>100</c:v>
                  </c:pt>
                  <c:pt idx="27">
                    <c:v>50</c:v>
                  </c:pt>
                  <c:pt idx="28">
                    <c:v>50</c:v>
                  </c:pt>
                  <c:pt idx="29">
                    <c:v>50</c:v>
                  </c:pt>
                  <c:pt idx="30">
                    <c:v>75</c:v>
                  </c:pt>
                  <c:pt idx="31">
                    <c:v>75</c:v>
                  </c:pt>
                  <c:pt idx="32">
                    <c:v>75</c:v>
                  </c:pt>
                  <c:pt idx="33">
                    <c:v>100</c:v>
                  </c:pt>
                  <c:pt idx="34">
                    <c:v>100</c:v>
                  </c:pt>
                  <c:pt idx="35">
                    <c:v>100</c:v>
                  </c:pt>
                </c:lvl>
                <c:lvl>
                  <c:pt idx="0">
                    <c:v>BD Agar</c:v>
                  </c:pt>
                  <c:pt idx="1">
                    <c:v>BD Agar</c:v>
                  </c:pt>
                  <c:pt idx="2">
                    <c:v>BD Agar</c:v>
                  </c:pt>
                  <c:pt idx="3">
                    <c:v>BD Agar</c:v>
                  </c:pt>
                  <c:pt idx="4">
                    <c:v>BD Agar</c:v>
                  </c:pt>
                  <c:pt idx="5">
                    <c:v>BD Agar</c:v>
                  </c:pt>
                  <c:pt idx="6">
                    <c:v>BD Agar</c:v>
                  </c:pt>
                  <c:pt idx="7">
                    <c:v>BD Agar</c:v>
                  </c:pt>
                  <c:pt idx="8">
                    <c:v>BD Agar</c:v>
                  </c:pt>
                  <c:pt idx="9">
                    <c:v>BD Agar</c:v>
                  </c:pt>
                  <c:pt idx="10">
                    <c:v>BD Agar</c:v>
                  </c:pt>
                  <c:pt idx="11">
                    <c:v>BD Agar</c:v>
                  </c:pt>
                  <c:pt idx="12">
                    <c:v>BD Agar</c:v>
                  </c:pt>
                  <c:pt idx="13">
                    <c:v>BD Agar</c:v>
                  </c:pt>
                  <c:pt idx="14">
                    <c:v>BD Agar</c:v>
                  </c:pt>
                  <c:pt idx="15">
                    <c:v>BD Agar</c:v>
                  </c:pt>
                  <c:pt idx="16">
                    <c:v>BD Agar</c:v>
                  </c:pt>
                  <c:pt idx="17">
                    <c:v>BD Agar</c:v>
                  </c:pt>
                  <c:pt idx="18">
                    <c:v>Oxoid Agar</c:v>
                  </c:pt>
                  <c:pt idx="19">
                    <c:v>Oxoid Agar</c:v>
                  </c:pt>
                  <c:pt idx="20">
                    <c:v>Oxoid Agar</c:v>
                  </c:pt>
                  <c:pt idx="21">
                    <c:v>Oxoid Agar</c:v>
                  </c:pt>
                  <c:pt idx="22">
                    <c:v>Oxoid Agar</c:v>
                  </c:pt>
                  <c:pt idx="23">
                    <c:v>Oxoid Agar</c:v>
                  </c:pt>
                  <c:pt idx="24">
                    <c:v>Oxoid Agar</c:v>
                  </c:pt>
                  <c:pt idx="25">
                    <c:v>Oxoid Agar</c:v>
                  </c:pt>
                  <c:pt idx="26">
                    <c:v>Oxoid Agar</c:v>
                  </c:pt>
                  <c:pt idx="27">
                    <c:v>Oxoid Agar</c:v>
                  </c:pt>
                  <c:pt idx="28">
                    <c:v>Oxoid Agar</c:v>
                  </c:pt>
                  <c:pt idx="29">
                    <c:v>Oxoid Agar</c:v>
                  </c:pt>
                  <c:pt idx="30">
                    <c:v>Oxoid Agar</c:v>
                  </c:pt>
                  <c:pt idx="31">
                    <c:v>Oxoid Agar</c:v>
                  </c:pt>
                  <c:pt idx="32">
                    <c:v>Oxoid Agar</c:v>
                  </c:pt>
                  <c:pt idx="33">
                    <c:v>Oxoid Agar</c:v>
                  </c:pt>
                  <c:pt idx="34">
                    <c:v>Oxoid Agar</c:v>
                  </c:pt>
                  <c:pt idx="35">
                    <c:v>Oxoid Agar</c:v>
                  </c:pt>
                </c:lvl>
                <c:lvl>
                  <c:pt idx="0">
                    <c:v>1 x SLAD </c:v>
                  </c:pt>
                  <c:pt idx="1">
                    <c:v>1 x SLAD </c:v>
                  </c:pt>
                  <c:pt idx="2">
                    <c:v>1 x SLAD </c:v>
                  </c:pt>
                  <c:pt idx="3">
                    <c:v>1 x SLAD </c:v>
                  </c:pt>
                  <c:pt idx="4">
                    <c:v>1 x SLAD </c:v>
                  </c:pt>
                  <c:pt idx="5">
                    <c:v>1 x SLAD </c:v>
                  </c:pt>
                  <c:pt idx="6">
                    <c:v>1 x SLAD </c:v>
                  </c:pt>
                  <c:pt idx="7">
                    <c:v>1 x SLAD </c:v>
                  </c:pt>
                  <c:pt idx="8">
                    <c:v>1 x SLAD </c:v>
                  </c:pt>
                  <c:pt idx="9">
                    <c:v>2 x SLAD </c:v>
                  </c:pt>
                  <c:pt idx="10">
                    <c:v>2 x SLAD </c:v>
                  </c:pt>
                  <c:pt idx="11">
                    <c:v>2 x SLAD </c:v>
                  </c:pt>
                  <c:pt idx="12">
                    <c:v>2 x SLAD </c:v>
                  </c:pt>
                  <c:pt idx="13">
                    <c:v>2 x SLAD </c:v>
                  </c:pt>
                  <c:pt idx="14">
                    <c:v>2 x SLAD </c:v>
                  </c:pt>
                  <c:pt idx="15">
                    <c:v>2 x SLAD </c:v>
                  </c:pt>
                  <c:pt idx="16">
                    <c:v>2 x SLAD </c:v>
                  </c:pt>
                  <c:pt idx="17">
                    <c:v>2 x SLAD </c:v>
                  </c:pt>
                  <c:pt idx="18">
                    <c:v>1 x SLAD </c:v>
                  </c:pt>
                  <c:pt idx="19">
                    <c:v>1 x SLAD </c:v>
                  </c:pt>
                  <c:pt idx="20">
                    <c:v>1 x SLAD </c:v>
                  </c:pt>
                  <c:pt idx="21">
                    <c:v>1 x SLAD </c:v>
                  </c:pt>
                  <c:pt idx="22">
                    <c:v>1 x SLAD </c:v>
                  </c:pt>
                  <c:pt idx="23">
                    <c:v>1 x SLAD </c:v>
                  </c:pt>
                  <c:pt idx="24">
                    <c:v>1 x SLAD </c:v>
                  </c:pt>
                  <c:pt idx="25">
                    <c:v>1 x SLAD </c:v>
                  </c:pt>
                  <c:pt idx="26">
                    <c:v>1 x SLAD </c:v>
                  </c:pt>
                  <c:pt idx="27">
                    <c:v>2 x SLAD </c:v>
                  </c:pt>
                  <c:pt idx="28">
                    <c:v>2 x SLAD </c:v>
                  </c:pt>
                  <c:pt idx="29">
                    <c:v>2 x SLAD </c:v>
                  </c:pt>
                  <c:pt idx="30">
                    <c:v>2 x SLAD </c:v>
                  </c:pt>
                  <c:pt idx="31">
                    <c:v>2 x SLAD </c:v>
                  </c:pt>
                  <c:pt idx="32">
                    <c:v>2 x SLAD </c:v>
                  </c:pt>
                  <c:pt idx="33">
                    <c:v>2 x SLAD </c:v>
                  </c:pt>
                  <c:pt idx="34">
                    <c:v>2 x SLAD </c:v>
                  </c:pt>
                  <c:pt idx="35">
                    <c:v>2 x SLAD </c:v>
                  </c:pt>
                </c:lvl>
                <c:lvl>
                  <c:pt idx="0">
                    <c:v>1 x SLAD</c:v>
                  </c:pt>
                  <c:pt idx="1">
                    <c:v>1 x SLAD</c:v>
                  </c:pt>
                  <c:pt idx="2">
                    <c:v>1 x SLAD</c:v>
                  </c:pt>
                  <c:pt idx="3">
                    <c:v>1 x SLAD</c:v>
                  </c:pt>
                  <c:pt idx="4">
                    <c:v>1 x SLAD</c:v>
                  </c:pt>
                  <c:pt idx="5">
                    <c:v>1 x SLAD</c:v>
                  </c:pt>
                  <c:pt idx="6">
                    <c:v>1 x SLAD</c:v>
                  </c:pt>
                  <c:pt idx="7">
                    <c:v>1 x SLAD</c:v>
                  </c:pt>
                  <c:pt idx="8">
                    <c:v>1 x SLAD</c:v>
                  </c:pt>
                  <c:pt idx="9">
                    <c:v>1 x SLAD</c:v>
                  </c:pt>
                  <c:pt idx="10">
                    <c:v>1 x SLAD</c:v>
                  </c:pt>
                  <c:pt idx="11">
                    <c:v>1 x SLAD</c:v>
                  </c:pt>
                  <c:pt idx="12">
                    <c:v>1 x SLAD</c:v>
                  </c:pt>
                  <c:pt idx="13">
                    <c:v>1 x SLAD</c:v>
                  </c:pt>
                  <c:pt idx="14">
                    <c:v>1 x SLAD</c:v>
                  </c:pt>
                  <c:pt idx="15">
                    <c:v>1 x SLAD</c:v>
                  </c:pt>
                  <c:pt idx="16">
                    <c:v>1 x SLAD</c:v>
                  </c:pt>
                  <c:pt idx="17">
                    <c:v>1 x SLAD</c:v>
                  </c:pt>
                  <c:pt idx="18">
                    <c:v>1 x SLAD</c:v>
                  </c:pt>
                  <c:pt idx="19">
                    <c:v>1 x SLAD</c:v>
                  </c:pt>
                  <c:pt idx="20">
                    <c:v>1 x SLAD</c:v>
                  </c:pt>
                  <c:pt idx="21">
                    <c:v>1 x SLAD</c:v>
                  </c:pt>
                  <c:pt idx="22">
                    <c:v>1 x SLAD</c:v>
                  </c:pt>
                  <c:pt idx="23">
                    <c:v>1 x SLAD</c:v>
                  </c:pt>
                  <c:pt idx="24">
                    <c:v>1 x SLAD</c:v>
                  </c:pt>
                  <c:pt idx="25">
                    <c:v>1 x SLAD</c:v>
                  </c:pt>
                  <c:pt idx="26">
                    <c:v>1 x SLAD</c:v>
                  </c:pt>
                  <c:pt idx="27">
                    <c:v>1 x SLAD</c:v>
                  </c:pt>
                  <c:pt idx="28">
                    <c:v>1 x SLAD</c:v>
                  </c:pt>
                  <c:pt idx="29">
                    <c:v>1 x SLAD</c:v>
                  </c:pt>
                  <c:pt idx="30">
                    <c:v>1 x SLAD</c:v>
                  </c:pt>
                  <c:pt idx="31">
                    <c:v>1 x SLAD</c:v>
                  </c:pt>
                  <c:pt idx="32">
                    <c:v>1 x SLAD</c:v>
                  </c:pt>
                  <c:pt idx="33">
                    <c:v>1 x SLAD</c:v>
                  </c:pt>
                  <c:pt idx="34">
                    <c:v>1 x SLAD</c:v>
                  </c:pt>
                  <c:pt idx="35">
                    <c:v>1 x SLAD</c:v>
                  </c:pt>
                </c:lvl>
                <c:lvl>
                  <c:pt idx="0">
                    <c:v>796</c:v>
                  </c:pt>
                  <c:pt idx="1">
                    <c:v>796</c:v>
                  </c:pt>
                  <c:pt idx="2">
                    <c:v>796</c:v>
                  </c:pt>
                  <c:pt idx="3">
                    <c:v>796</c:v>
                  </c:pt>
                  <c:pt idx="4">
                    <c:v>796</c:v>
                  </c:pt>
                  <c:pt idx="5">
                    <c:v>796</c:v>
                  </c:pt>
                  <c:pt idx="6">
                    <c:v>796</c:v>
                  </c:pt>
                  <c:pt idx="7">
                    <c:v>796</c:v>
                  </c:pt>
                  <c:pt idx="8">
                    <c:v>796</c:v>
                  </c:pt>
                  <c:pt idx="9">
                    <c:v>796</c:v>
                  </c:pt>
                  <c:pt idx="10">
                    <c:v>796</c:v>
                  </c:pt>
                  <c:pt idx="11">
                    <c:v>796</c:v>
                  </c:pt>
                  <c:pt idx="12">
                    <c:v>796</c:v>
                  </c:pt>
                  <c:pt idx="13">
                    <c:v>796</c:v>
                  </c:pt>
                  <c:pt idx="14">
                    <c:v>796</c:v>
                  </c:pt>
                  <c:pt idx="15">
                    <c:v>796</c:v>
                  </c:pt>
                  <c:pt idx="16">
                    <c:v>796</c:v>
                  </c:pt>
                  <c:pt idx="17">
                    <c:v>796</c:v>
                  </c:pt>
                  <c:pt idx="18">
                    <c:v>796</c:v>
                  </c:pt>
                  <c:pt idx="19">
                    <c:v>796</c:v>
                  </c:pt>
                  <c:pt idx="20">
                    <c:v>796</c:v>
                  </c:pt>
                  <c:pt idx="21">
                    <c:v>796</c:v>
                  </c:pt>
                  <c:pt idx="22">
                    <c:v>796</c:v>
                  </c:pt>
                  <c:pt idx="23">
                    <c:v>796</c:v>
                  </c:pt>
                  <c:pt idx="24">
                    <c:v>796</c:v>
                  </c:pt>
                  <c:pt idx="25">
                    <c:v>796</c:v>
                  </c:pt>
                  <c:pt idx="26">
                    <c:v>796</c:v>
                  </c:pt>
                  <c:pt idx="27">
                    <c:v>796</c:v>
                  </c:pt>
                  <c:pt idx="28">
                    <c:v>796</c:v>
                  </c:pt>
                  <c:pt idx="29">
                    <c:v>796</c:v>
                  </c:pt>
                  <c:pt idx="30">
                    <c:v>796</c:v>
                  </c:pt>
                  <c:pt idx="31">
                    <c:v>796</c:v>
                  </c:pt>
                  <c:pt idx="32">
                    <c:v>796</c:v>
                  </c:pt>
                  <c:pt idx="33">
                    <c:v>796</c:v>
                  </c:pt>
                  <c:pt idx="34">
                    <c:v>796</c:v>
                  </c:pt>
                  <c:pt idx="35">
                    <c:v>796</c:v>
                  </c:pt>
                </c:lvl>
              </c:multiLvlStrCache>
            </c:multiLvlStrRef>
          </c:cat>
          <c:val>
            <c:numRef>
              <c:f>'E1 (Exp C) Day 6 (14_11) '!$M$2:$M$37</c:f>
              <c:numCache>
                <c:formatCode>0%</c:formatCode>
                <c:ptCount val="36"/>
                <c:pt idx="1">
                  <c:v>1</c:v>
                </c:pt>
                <c:pt idx="2">
                  <c:v>1</c:v>
                </c:pt>
                <c:pt idx="4">
                  <c:v>0</c:v>
                </c:pt>
                <c:pt idx="5">
                  <c:v>0.16</c:v>
                </c:pt>
                <c:pt idx="7">
                  <c:v>7.4999999999999997E-2</c:v>
                </c:pt>
                <c:pt idx="8">
                  <c:v>0.13333333333333333</c:v>
                </c:pt>
                <c:pt idx="10">
                  <c:v>0.95348837209302328</c:v>
                </c:pt>
                <c:pt idx="11">
                  <c:v>1</c:v>
                </c:pt>
                <c:pt idx="13">
                  <c:v>0</c:v>
                </c:pt>
                <c:pt idx="14">
                  <c:v>0</c:v>
                </c:pt>
                <c:pt idx="16">
                  <c:v>8.333333333333337E-2</c:v>
                </c:pt>
                <c:pt idx="17">
                  <c:v>8.333333333333337E-2</c:v>
                </c:pt>
                <c:pt idx="19">
                  <c:v>0</c:v>
                </c:pt>
                <c:pt idx="20">
                  <c:v>0</c:v>
                </c:pt>
                <c:pt idx="22">
                  <c:v>-0.96969696969696972</c:v>
                </c:pt>
                <c:pt idx="23">
                  <c:v>-0.13043478260869568</c:v>
                </c:pt>
                <c:pt idx="25">
                  <c:v>-0.69230769230769229</c:v>
                </c:pt>
                <c:pt idx="26">
                  <c:v>-7.6923076923076872E-2</c:v>
                </c:pt>
                <c:pt idx="28">
                  <c:v>0</c:v>
                </c:pt>
                <c:pt idx="29">
                  <c:v>0</c:v>
                </c:pt>
                <c:pt idx="31">
                  <c:v>0</c:v>
                </c:pt>
                <c:pt idx="32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C-944B-970F-B6BE744B5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123935"/>
        <c:axId val="765787551"/>
      </c:barChart>
      <c:catAx>
        <c:axId val="76612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87551"/>
        <c:crosses val="autoZero"/>
        <c:auto val="1"/>
        <c:lblAlgn val="ctr"/>
        <c:lblOffset val="100"/>
        <c:noMultiLvlLbl val="0"/>
      </c:catAx>
      <c:valAx>
        <c:axId val="765787551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2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</a:t>
            </a:r>
            <a:r>
              <a:rPr lang="en-US" baseline="0"/>
              <a:t> Day 3 (Exp D) 18/11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Invasive colonies (%)</c:v>
          </c:tx>
          <c:spPr>
            <a:solidFill>
              <a:schemeClr val="accent1">
                <a:lumMod val="40000"/>
                <a:lumOff val="60000"/>
              </a:schemeClr>
            </a:solidFill>
            <a:ln w="317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multiLvlStrRef>
              <c:f>'E2 (Exp D) Day 3 (18_11)'!$C$2:$G$37</c:f>
              <c:multiLvlStrCache>
                <c:ptCount val="36"/>
                <c:lvl>
                  <c:pt idx="1">
                    <c:v>400</c:v>
                  </c:pt>
                  <c:pt idx="3">
                    <c:v>400</c:v>
                  </c:pt>
                  <c:pt idx="5">
                    <c:v>400</c:v>
                  </c:pt>
                  <c:pt idx="7">
                    <c:v>400</c:v>
                  </c:pt>
                  <c:pt idx="9">
                    <c:v>400</c:v>
                  </c:pt>
                  <c:pt idx="11">
                    <c:v>400</c:v>
                  </c:pt>
                  <c:pt idx="13">
                    <c:v>400</c:v>
                  </c:pt>
                  <c:pt idx="15">
                    <c:v>400</c:v>
                  </c:pt>
                  <c:pt idx="17">
                    <c:v>400</c:v>
                  </c:pt>
                  <c:pt idx="19">
                    <c:v>400</c:v>
                  </c:pt>
                  <c:pt idx="21">
                    <c:v>400</c:v>
                  </c:pt>
                  <c:pt idx="23">
                    <c:v>400</c:v>
                  </c:pt>
                  <c:pt idx="25">
                    <c:v>400</c:v>
                  </c:pt>
                  <c:pt idx="27">
                    <c:v>400</c:v>
                  </c:pt>
                  <c:pt idx="29">
                    <c:v>400</c:v>
                  </c:pt>
                  <c:pt idx="31">
                    <c:v>400</c:v>
                  </c:pt>
                  <c:pt idx="33">
                    <c:v>400</c:v>
                  </c:pt>
                  <c:pt idx="35">
                    <c:v>400</c:v>
                  </c:pt>
                </c:lvl>
                <c:lvl>
                  <c:pt idx="0">
                    <c:v>50</c:v>
                  </c:pt>
                  <c:pt idx="1">
                    <c:v>50</c:v>
                  </c:pt>
                  <c:pt idx="2">
                    <c:v>75</c:v>
                  </c:pt>
                  <c:pt idx="3">
                    <c:v>75</c:v>
                  </c:pt>
                  <c:pt idx="4">
                    <c:v>50</c:v>
                  </c:pt>
                  <c:pt idx="5">
                    <c:v>50</c:v>
                  </c:pt>
                  <c:pt idx="6">
                    <c:v>75</c:v>
                  </c:pt>
                  <c:pt idx="7">
                    <c:v>75</c:v>
                  </c:pt>
                  <c:pt idx="8">
                    <c:v>50</c:v>
                  </c:pt>
                  <c:pt idx="9">
                    <c:v>50</c:v>
                  </c:pt>
                  <c:pt idx="10">
                    <c:v>75</c:v>
                  </c:pt>
                  <c:pt idx="11">
                    <c:v>75</c:v>
                  </c:pt>
                  <c:pt idx="12">
                    <c:v>50</c:v>
                  </c:pt>
                  <c:pt idx="13">
                    <c:v>50</c:v>
                  </c:pt>
                  <c:pt idx="14">
                    <c:v>75</c:v>
                  </c:pt>
                  <c:pt idx="15">
                    <c:v>75</c:v>
                  </c:pt>
                  <c:pt idx="16">
                    <c:v>50</c:v>
                  </c:pt>
                  <c:pt idx="17">
                    <c:v>50</c:v>
                  </c:pt>
                  <c:pt idx="18">
                    <c:v>75</c:v>
                  </c:pt>
                  <c:pt idx="19">
                    <c:v>75</c:v>
                  </c:pt>
                  <c:pt idx="20">
                    <c:v>50</c:v>
                  </c:pt>
                  <c:pt idx="21">
                    <c:v>50</c:v>
                  </c:pt>
                  <c:pt idx="22">
                    <c:v>75</c:v>
                  </c:pt>
                  <c:pt idx="23">
                    <c:v>75</c:v>
                  </c:pt>
                  <c:pt idx="24">
                    <c:v>50</c:v>
                  </c:pt>
                  <c:pt idx="25">
                    <c:v>50</c:v>
                  </c:pt>
                  <c:pt idx="26">
                    <c:v>75</c:v>
                  </c:pt>
                  <c:pt idx="27">
                    <c:v>75</c:v>
                  </c:pt>
                  <c:pt idx="28">
                    <c:v>50</c:v>
                  </c:pt>
                  <c:pt idx="29">
                    <c:v>50</c:v>
                  </c:pt>
                  <c:pt idx="30">
                    <c:v>75</c:v>
                  </c:pt>
                  <c:pt idx="31">
                    <c:v>75</c:v>
                  </c:pt>
                  <c:pt idx="32">
                    <c:v>50</c:v>
                  </c:pt>
                  <c:pt idx="33">
                    <c:v>50</c:v>
                  </c:pt>
                  <c:pt idx="34">
                    <c:v>75</c:v>
                  </c:pt>
                  <c:pt idx="35">
                    <c:v>75</c:v>
                  </c:pt>
                </c:lvl>
                <c:lvl>
                  <c:pt idx="0">
                    <c:v>2 x SLAD (BD agar)</c:v>
                  </c:pt>
                  <c:pt idx="1">
                    <c:v>2 x SLAD (BD agar)</c:v>
                  </c:pt>
                  <c:pt idx="2">
                    <c:v>2 x SLAD (BD agar)</c:v>
                  </c:pt>
                  <c:pt idx="3">
                    <c:v>2 x SLAD (BD agar)</c:v>
                  </c:pt>
                  <c:pt idx="4">
                    <c:v>2 x SLAD (BD agar)</c:v>
                  </c:pt>
                  <c:pt idx="5">
                    <c:v>2 x SLAD (BD agar)</c:v>
                  </c:pt>
                  <c:pt idx="6">
                    <c:v>2 x SLAD (BD agar)</c:v>
                  </c:pt>
                  <c:pt idx="7">
                    <c:v>2 x SLAD (BD agar)</c:v>
                  </c:pt>
                  <c:pt idx="8">
                    <c:v>2 x SLAD (BD agar)</c:v>
                  </c:pt>
                  <c:pt idx="9">
                    <c:v>2 x SLAD (BD agar)</c:v>
                  </c:pt>
                  <c:pt idx="10">
                    <c:v>2 x SLAD (BD agar)</c:v>
                  </c:pt>
                  <c:pt idx="11">
                    <c:v>2 x SLAD (BD agar)</c:v>
                  </c:pt>
                  <c:pt idx="12">
                    <c:v>2 x SLAD (BD agar)</c:v>
                  </c:pt>
                  <c:pt idx="13">
                    <c:v>2 x SLAD (BD agar)</c:v>
                  </c:pt>
                  <c:pt idx="14">
                    <c:v>2 x SLAD (BD agar)</c:v>
                  </c:pt>
                  <c:pt idx="15">
                    <c:v>2 x SLAD (BD agar)</c:v>
                  </c:pt>
                  <c:pt idx="16">
                    <c:v>2 x SLAD (BD agar)</c:v>
                  </c:pt>
                  <c:pt idx="17">
                    <c:v>2 x SLAD (BD agar)</c:v>
                  </c:pt>
                  <c:pt idx="18">
                    <c:v>2 x SLAD (BD agar)</c:v>
                  </c:pt>
                  <c:pt idx="19">
                    <c:v>2 x SLAD (BD agar)</c:v>
                  </c:pt>
                  <c:pt idx="20">
                    <c:v>2 x SLAD (BD agar)</c:v>
                  </c:pt>
                  <c:pt idx="21">
                    <c:v>2 x SLAD (BD agar)</c:v>
                  </c:pt>
                  <c:pt idx="22">
                    <c:v>2 x SLAD (BD agar)</c:v>
                  </c:pt>
                  <c:pt idx="23">
                    <c:v>2 x SLAD (BD agar)</c:v>
                  </c:pt>
                  <c:pt idx="24">
                    <c:v>2 x SLAD (BD agar)</c:v>
                  </c:pt>
                  <c:pt idx="25">
                    <c:v>2 x SLAD (BD agar)</c:v>
                  </c:pt>
                  <c:pt idx="26">
                    <c:v>2 x SLAD (BD agar)</c:v>
                  </c:pt>
                  <c:pt idx="27">
                    <c:v>2 x SLAD (BD agar)</c:v>
                  </c:pt>
                  <c:pt idx="28">
                    <c:v>2 x SLAD (BD agar)</c:v>
                  </c:pt>
                  <c:pt idx="29">
                    <c:v>2 x SLAD (BD agar)</c:v>
                  </c:pt>
                  <c:pt idx="30">
                    <c:v>2 x SLAD (BD agar)</c:v>
                  </c:pt>
                  <c:pt idx="31">
                    <c:v>2 x SLAD (BD agar)</c:v>
                  </c:pt>
                  <c:pt idx="32">
                    <c:v>2 x SLAD (BD agar)</c:v>
                  </c:pt>
                  <c:pt idx="33">
                    <c:v>2 x SLAD (BD agar)</c:v>
                  </c:pt>
                  <c:pt idx="34">
                    <c:v>2 x SLAD (BD agar)</c:v>
                  </c:pt>
                  <c:pt idx="35">
                    <c:v>2 x SLAD (BD agar)</c:v>
                  </c:pt>
                </c:lvl>
                <c:lvl>
                  <c:pt idx="0">
                    <c:v>1 x SLAD</c:v>
                  </c:pt>
                  <c:pt idx="1">
                    <c:v>1 x SLAD</c:v>
                  </c:pt>
                  <c:pt idx="2">
                    <c:v>1 x SLAD</c:v>
                  </c:pt>
                  <c:pt idx="3">
                    <c:v>1 x SLAD</c:v>
                  </c:pt>
                  <c:pt idx="4">
                    <c:v>1 x SLAD</c:v>
                  </c:pt>
                  <c:pt idx="5">
                    <c:v>1 x SLAD</c:v>
                  </c:pt>
                  <c:pt idx="6">
                    <c:v>1 x SLAD</c:v>
                  </c:pt>
                  <c:pt idx="7">
                    <c:v>1 x SLAD</c:v>
                  </c:pt>
                  <c:pt idx="8">
                    <c:v>1 x SLAD</c:v>
                  </c:pt>
                  <c:pt idx="9">
                    <c:v>1 x SLAD</c:v>
                  </c:pt>
                  <c:pt idx="10">
                    <c:v>1 x SLAD</c:v>
                  </c:pt>
                  <c:pt idx="11">
                    <c:v>1 x SLAD</c:v>
                  </c:pt>
                  <c:pt idx="12">
                    <c:v>1 x SLAD</c:v>
                  </c:pt>
                  <c:pt idx="13">
                    <c:v>1 x SLAD</c:v>
                  </c:pt>
                  <c:pt idx="14">
                    <c:v>1 x SLAD</c:v>
                  </c:pt>
                  <c:pt idx="15">
                    <c:v>1 x SLAD</c:v>
                  </c:pt>
                  <c:pt idx="16">
                    <c:v>1 x SLAD</c:v>
                  </c:pt>
                  <c:pt idx="17">
                    <c:v>1 x SLAD</c:v>
                  </c:pt>
                  <c:pt idx="18">
                    <c:v>1 x SLAD</c:v>
                  </c:pt>
                  <c:pt idx="19">
                    <c:v>1 x SLAD</c:v>
                  </c:pt>
                  <c:pt idx="20">
                    <c:v>1 x SLAD</c:v>
                  </c:pt>
                  <c:pt idx="21">
                    <c:v>1 x SLAD</c:v>
                  </c:pt>
                  <c:pt idx="22">
                    <c:v>1 x SLAD</c:v>
                  </c:pt>
                  <c:pt idx="23">
                    <c:v>1 x SLAD</c:v>
                  </c:pt>
                  <c:pt idx="24">
                    <c:v>1 x SLAD</c:v>
                  </c:pt>
                  <c:pt idx="25">
                    <c:v>1 x SLAD</c:v>
                  </c:pt>
                  <c:pt idx="26">
                    <c:v>1 x SLAD</c:v>
                  </c:pt>
                  <c:pt idx="27">
                    <c:v>1 x SLAD</c:v>
                  </c:pt>
                  <c:pt idx="28">
                    <c:v>1 x SLAD</c:v>
                  </c:pt>
                  <c:pt idx="29">
                    <c:v>1 x SLAD</c:v>
                  </c:pt>
                  <c:pt idx="30">
                    <c:v>1 x SLAD</c:v>
                  </c:pt>
                  <c:pt idx="31">
                    <c:v>1 x SLAD</c:v>
                  </c:pt>
                  <c:pt idx="32">
                    <c:v>1 x SLAD</c:v>
                  </c:pt>
                  <c:pt idx="33">
                    <c:v>1 x SLAD</c:v>
                  </c:pt>
                  <c:pt idx="34">
                    <c:v>1 x SLAD</c:v>
                  </c:pt>
                  <c:pt idx="35">
                    <c:v>1 x SLAD</c:v>
                  </c:pt>
                </c:lvl>
                <c:lvl>
                  <c:pt idx="0">
                    <c:v>796</c:v>
                  </c:pt>
                  <c:pt idx="1">
                    <c:v>796</c:v>
                  </c:pt>
                  <c:pt idx="2">
                    <c:v>796</c:v>
                  </c:pt>
                  <c:pt idx="3">
                    <c:v>796</c:v>
                  </c:pt>
                  <c:pt idx="4">
                    <c:v>1278B</c:v>
                  </c:pt>
                  <c:pt idx="5">
                    <c:v>1278B</c:v>
                  </c:pt>
                  <c:pt idx="6">
                    <c:v>1278B</c:v>
                  </c:pt>
                  <c:pt idx="7">
                    <c:v>1278B</c:v>
                  </c:pt>
                  <c:pt idx="8">
                    <c:v>L2056</c:v>
                  </c:pt>
                  <c:pt idx="9">
                    <c:v>L2056</c:v>
                  </c:pt>
                  <c:pt idx="10">
                    <c:v>L2056</c:v>
                  </c:pt>
                  <c:pt idx="11">
                    <c:v>L2056</c:v>
                  </c:pt>
                  <c:pt idx="12">
                    <c:v>796 fat1</c:v>
                  </c:pt>
                  <c:pt idx="13">
                    <c:v>796 fat1</c:v>
                  </c:pt>
                  <c:pt idx="14">
                    <c:v>796 fat1</c:v>
                  </c:pt>
                  <c:pt idx="15">
                    <c:v>796 fat1</c:v>
                  </c:pt>
                  <c:pt idx="16">
                    <c:v>796 gup1</c:v>
                  </c:pt>
                  <c:pt idx="17">
                    <c:v>796 gup1</c:v>
                  </c:pt>
                  <c:pt idx="18">
                    <c:v>796 gup1</c:v>
                  </c:pt>
                  <c:pt idx="19">
                    <c:v>796 gup1</c:v>
                  </c:pt>
                  <c:pt idx="20">
                    <c:v>796 nrt1</c:v>
                  </c:pt>
                  <c:pt idx="21">
                    <c:v>796 nrt1</c:v>
                  </c:pt>
                  <c:pt idx="22">
                    <c:v>796 nrt1</c:v>
                  </c:pt>
                  <c:pt idx="23">
                    <c:v>796 nrt1</c:v>
                  </c:pt>
                  <c:pt idx="24">
                    <c:v>796 skp2</c:v>
                  </c:pt>
                  <c:pt idx="25">
                    <c:v>796 skp2</c:v>
                  </c:pt>
                  <c:pt idx="26">
                    <c:v>796 skp2</c:v>
                  </c:pt>
                  <c:pt idx="27">
                    <c:v>796 skp2</c:v>
                  </c:pt>
                  <c:pt idx="28">
                    <c:v>796 soa1</c:v>
                  </c:pt>
                  <c:pt idx="29">
                    <c:v>796 soa1</c:v>
                  </c:pt>
                  <c:pt idx="30">
                    <c:v>796 soa1</c:v>
                  </c:pt>
                  <c:pt idx="31">
                    <c:v>796 soa1</c:v>
                  </c:pt>
                  <c:pt idx="32">
                    <c:v>796 yor1</c:v>
                  </c:pt>
                  <c:pt idx="33">
                    <c:v>796 yor1</c:v>
                  </c:pt>
                  <c:pt idx="34">
                    <c:v>796 yor1</c:v>
                  </c:pt>
                  <c:pt idx="35">
                    <c:v>796 yor1</c:v>
                  </c:pt>
                </c:lvl>
              </c:multiLvlStrCache>
            </c:multiLvlStrRef>
          </c:cat>
          <c:val>
            <c:numRef>
              <c:f>'E2 (Exp D) Day 3 (18_11)'!$L$2:$L$37</c:f>
              <c:numCache>
                <c:formatCode>0%</c:formatCode>
                <c:ptCount val="36"/>
                <c:pt idx="1">
                  <c:v>0.32352941176470584</c:v>
                </c:pt>
                <c:pt idx="3">
                  <c:v>3.529411764705892E-2</c:v>
                </c:pt>
                <c:pt idx="5">
                  <c:v>0</c:v>
                </c:pt>
                <c:pt idx="7">
                  <c:v>0</c:v>
                </c:pt>
                <c:pt idx="9">
                  <c:v>0.1428571428571429</c:v>
                </c:pt>
                <c:pt idx="11">
                  <c:v>0.91428571428571426</c:v>
                </c:pt>
                <c:pt idx="13">
                  <c:v>0.43478260869565216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0.34210526315789475</c:v>
                </c:pt>
                <c:pt idx="23">
                  <c:v>0.23076923076923078</c:v>
                </c:pt>
                <c:pt idx="25">
                  <c:v>0</c:v>
                </c:pt>
                <c:pt idx="27">
                  <c:v>0</c:v>
                </c:pt>
                <c:pt idx="29">
                  <c:v>0.56795131845841773</c:v>
                </c:pt>
                <c:pt idx="31">
                  <c:v>-6.0606060606060552E-2</c:v>
                </c:pt>
                <c:pt idx="33">
                  <c:v>0.25</c:v>
                </c:pt>
                <c:pt idx="35">
                  <c:v>4.1811846689895453E-3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0-784E-A633-FD04591F9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123935"/>
        <c:axId val="765787551"/>
      </c:barChart>
      <c:catAx>
        <c:axId val="76612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87551"/>
        <c:crosses val="autoZero"/>
        <c:auto val="1"/>
        <c:lblAlgn val="ctr"/>
        <c:lblOffset val="100"/>
        <c:noMultiLvlLbl val="0"/>
      </c:catAx>
      <c:valAx>
        <c:axId val="765787551"/>
        <c:scaling>
          <c:orientation val="minMax"/>
          <c:max val="1"/>
          <c:min val="-1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2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E2</a:t>
            </a:r>
            <a:r>
              <a:rPr lang="en-US" baseline="0"/>
              <a:t> Day 6 (Exp D) 21/11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 w="317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multiLvlStrRef>
              <c:f>'E2 (Exp D) Day 3 (18_11)'!$C$2:$G$37</c:f>
              <c:multiLvlStrCache>
                <c:ptCount val="36"/>
                <c:lvl>
                  <c:pt idx="1">
                    <c:v>400</c:v>
                  </c:pt>
                  <c:pt idx="3">
                    <c:v>400</c:v>
                  </c:pt>
                  <c:pt idx="5">
                    <c:v>400</c:v>
                  </c:pt>
                  <c:pt idx="7">
                    <c:v>400</c:v>
                  </c:pt>
                  <c:pt idx="9">
                    <c:v>400</c:v>
                  </c:pt>
                  <c:pt idx="11">
                    <c:v>400</c:v>
                  </c:pt>
                  <c:pt idx="13">
                    <c:v>400</c:v>
                  </c:pt>
                  <c:pt idx="15">
                    <c:v>400</c:v>
                  </c:pt>
                  <c:pt idx="17">
                    <c:v>400</c:v>
                  </c:pt>
                  <c:pt idx="19">
                    <c:v>400</c:v>
                  </c:pt>
                  <c:pt idx="21">
                    <c:v>400</c:v>
                  </c:pt>
                  <c:pt idx="23">
                    <c:v>400</c:v>
                  </c:pt>
                  <c:pt idx="25">
                    <c:v>400</c:v>
                  </c:pt>
                  <c:pt idx="27">
                    <c:v>400</c:v>
                  </c:pt>
                  <c:pt idx="29">
                    <c:v>400</c:v>
                  </c:pt>
                  <c:pt idx="31">
                    <c:v>400</c:v>
                  </c:pt>
                  <c:pt idx="33">
                    <c:v>400</c:v>
                  </c:pt>
                  <c:pt idx="35">
                    <c:v>400</c:v>
                  </c:pt>
                </c:lvl>
                <c:lvl>
                  <c:pt idx="0">
                    <c:v>50</c:v>
                  </c:pt>
                  <c:pt idx="1">
                    <c:v>50</c:v>
                  </c:pt>
                  <c:pt idx="2">
                    <c:v>75</c:v>
                  </c:pt>
                  <c:pt idx="3">
                    <c:v>75</c:v>
                  </c:pt>
                  <c:pt idx="4">
                    <c:v>50</c:v>
                  </c:pt>
                  <c:pt idx="5">
                    <c:v>50</c:v>
                  </c:pt>
                  <c:pt idx="6">
                    <c:v>75</c:v>
                  </c:pt>
                  <c:pt idx="7">
                    <c:v>75</c:v>
                  </c:pt>
                  <c:pt idx="8">
                    <c:v>50</c:v>
                  </c:pt>
                  <c:pt idx="9">
                    <c:v>50</c:v>
                  </c:pt>
                  <c:pt idx="10">
                    <c:v>75</c:v>
                  </c:pt>
                  <c:pt idx="11">
                    <c:v>75</c:v>
                  </c:pt>
                  <c:pt idx="12">
                    <c:v>50</c:v>
                  </c:pt>
                  <c:pt idx="13">
                    <c:v>50</c:v>
                  </c:pt>
                  <c:pt idx="14">
                    <c:v>75</c:v>
                  </c:pt>
                  <c:pt idx="15">
                    <c:v>75</c:v>
                  </c:pt>
                  <c:pt idx="16">
                    <c:v>50</c:v>
                  </c:pt>
                  <c:pt idx="17">
                    <c:v>50</c:v>
                  </c:pt>
                  <c:pt idx="18">
                    <c:v>75</c:v>
                  </c:pt>
                  <c:pt idx="19">
                    <c:v>75</c:v>
                  </c:pt>
                  <c:pt idx="20">
                    <c:v>50</c:v>
                  </c:pt>
                  <c:pt idx="21">
                    <c:v>50</c:v>
                  </c:pt>
                  <c:pt idx="22">
                    <c:v>75</c:v>
                  </c:pt>
                  <c:pt idx="23">
                    <c:v>75</c:v>
                  </c:pt>
                  <c:pt idx="24">
                    <c:v>50</c:v>
                  </c:pt>
                  <c:pt idx="25">
                    <c:v>50</c:v>
                  </c:pt>
                  <c:pt idx="26">
                    <c:v>75</c:v>
                  </c:pt>
                  <c:pt idx="27">
                    <c:v>75</c:v>
                  </c:pt>
                  <c:pt idx="28">
                    <c:v>50</c:v>
                  </c:pt>
                  <c:pt idx="29">
                    <c:v>50</c:v>
                  </c:pt>
                  <c:pt idx="30">
                    <c:v>75</c:v>
                  </c:pt>
                  <c:pt idx="31">
                    <c:v>75</c:v>
                  </c:pt>
                  <c:pt idx="32">
                    <c:v>50</c:v>
                  </c:pt>
                  <c:pt idx="33">
                    <c:v>50</c:v>
                  </c:pt>
                  <c:pt idx="34">
                    <c:v>75</c:v>
                  </c:pt>
                  <c:pt idx="35">
                    <c:v>75</c:v>
                  </c:pt>
                </c:lvl>
                <c:lvl>
                  <c:pt idx="0">
                    <c:v>2 x SLAD (BD agar)</c:v>
                  </c:pt>
                  <c:pt idx="1">
                    <c:v>2 x SLAD (BD agar)</c:v>
                  </c:pt>
                  <c:pt idx="2">
                    <c:v>2 x SLAD (BD agar)</c:v>
                  </c:pt>
                  <c:pt idx="3">
                    <c:v>2 x SLAD (BD agar)</c:v>
                  </c:pt>
                  <c:pt idx="4">
                    <c:v>2 x SLAD (BD agar)</c:v>
                  </c:pt>
                  <c:pt idx="5">
                    <c:v>2 x SLAD (BD agar)</c:v>
                  </c:pt>
                  <c:pt idx="6">
                    <c:v>2 x SLAD (BD agar)</c:v>
                  </c:pt>
                  <c:pt idx="7">
                    <c:v>2 x SLAD (BD agar)</c:v>
                  </c:pt>
                  <c:pt idx="8">
                    <c:v>2 x SLAD (BD agar)</c:v>
                  </c:pt>
                  <c:pt idx="9">
                    <c:v>2 x SLAD (BD agar)</c:v>
                  </c:pt>
                  <c:pt idx="10">
                    <c:v>2 x SLAD (BD agar)</c:v>
                  </c:pt>
                  <c:pt idx="11">
                    <c:v>2 x SLAD (BD agar)</c:v>
                  </c:pt>
                  <c:pt idx="12">
                    <c:v>2 x SLAD (BD agar)</c:v>
                  </c:pt>
                  <c:pt idx="13">
                    <c:v>2 x SLAD (BD agar)</c:v>
                  </c:pt>
                  <c:pt idx="14">
                    <c:v>2 x SLAD (BD agar)</c:v>
                  </c:pt>
                  <c:pt idx="15">
                    <c:v>2 x SLAD (BD agar)</c:v>
                  </c:pt>
                  <c:pt idx="16">
                    <c:v>2 x SLAD (BD agar)</c:v>
                  </c:pt>
                  <c:pt idx="17">
                    <c:v>2 x SLAD (BD agar)</c:v>
                  </c:pt>
                  <c:pt idx="18">
                    <c:v>2 x SLAD (BD agar)</c:v>
                  </c:pt>
                  <c:pt idx="19">
                    <c:v>2 x SLAD (BD agar)</c:v>
                  </c:pt>
                  <c:pt idx="20">
                    <c:v>2 x SLAD (BD agar)</c:v>
                  </c:pt>
                  <c:pt idx="21">
                    <c:v>2 x SLAD (BD agar)</c:v>
                  </c:pt>
                  <c:pt idx="22">
                    <c:v>2 x SLAD (BD agar)</c:v>
                  </c:pt>
                  <c:pt idx="23">
                    <c:v>2 x SLAD (BD agar)</c:v>
                  </c:pt>
                  <c:pt idx="24">
                    <c:v>2 x SLAD (BD agar)</c:v>
                  </c:pt>
                  <c:pt idx="25">
                    <c:v>2 x SLAD (BD agar)</c:v>
                  </c:pt>
                  <c:pt idx="26">
                    <c:v>2 x SLAD (BD agar)</c:v>
                  </c:pt>
                  <c:pt idx="27">
                    <c:v>2 x SLAD (BD agar)</c:v>
                  </c:pt>
                  <c:pt idx="28">
                    <c:v>2 x SLAD (BD agar)</c:v>
                  </c:pt>
                  <c:pt idx="29">
                    <c:v>2 x SLAD (BD agar)</c:v>
                  </c:pt>
                  <c:pt idx="30">
                    <c:v>2 x SLAD (BD agar)</c:v>
                  </c:pt>
                  <c:pt idx="31">
                    <c:v>2 x SLAD (BD agar)</c:v>
                  </c:pt>
                  <c:pt idx="32">
                    <c:v>2 x SLAD (BD agar)</c:v>
                  </c:pt>
                  <c:pt idx="33">
                    <c:v>2 x SLAD (BD agar)</c:v>
                  </c:pt>
                  <c:pt idx="34">
                    <c:v>2 x SLAD (BD agar)</c:v>
                  </c:pt>
                  <c:pt idx="35">
                    <c:v>2 x SLAD (BD agar)</c:v>
                  </c:pt>
                </c:lvl>
                <c:lvl>
                  <c:pt idx="0">
                    <c:v>1 x SLAD</c:v>
                  </c:pt>
                  <c:pt idx="1">
                    <c:v>1 x SLAD</c:v>
                  </c:pt>
                  <c:pt idx="2">
                    <c:v>1 x SLAD</c:v>
                  </c:pt>
                  <c:pt idx="3">
                    <c:v>1 x SLAD</c:v>
                  </c:pt>
                  <c:pt idx="4">
                    <c:v>1 x SLAD</c:v>
                  </c:pt>
                  <c:pt idx="5">
                    <c:v>1 x SLAD</c:v>
                  </c:pt>
                  <c:pt idx="6">
                    <c:v>1 x SLAD</c:v>
                  </c:pt>
                  <c:pt idx="7">
                    <c:v>1 x SLAD</c:v>
                  </c:pt>
                  <c:pt idx="8">
                    <c:v>1 x SLAD</c:v>
                  </c:pt>
                  <c:pt idx="9">
                    <c:v>1 x SLAD</c:v>
                  </c:pt>
                  <c:pt idx="10">
                    <c:v>1 x SLAD</c:v>
                  </c:pt>
                  <c:pt idx="11">
                    <c:v>1 x SLAD</c:v>
                  </c:pt>
                  <c:pt idx="12">
                    <c:v>1 x SLAD</c:v>
                  </c:pt>
                  <c:pt idx="13">
                    <c:v>1 x SLAD</c:v>
                  </c:pt>
                  <c:pt idx="14">
                    <c:v>1 x SLAD</c:v>
                  </c:pt>
                  <c:pt idx="15">
                    <c:v>1 x SLAD</c:v>
                  </c:pt>
                  <c:pt idx="16">
                    <c:v>1 x SLAD</c:v>
                  </c:pt>
                  <c:pt idx="17">
                    <c:v>1 x SLAD</c:v>
                  </c:pt>
                  <c:pt idx="18">
                    <c:v>1 x SLAD</c:v>
                  </c:pt>
                  <c:pt idx="19">
                    <c:v>1 x SLAD</c:v>
                  </c:pt>
                  <c:pt idx="20">
                    <c:v>1 x SLAD</c:v>
                  </c:pt>
                  <c:pt idx="21">
                    <c:v>1 x SLAD</c:v>
                  </c:pt>
                  <c:pt idx="22">
                    <c:v>1 x SLAD</c:v>
                  </c:pt>
                  <c:pt idx="23">
                    <c:v>1 x SLAD</c:v>
                  </c:pt>
                  <c:pt idx="24">
                    <c:v>1 x SLAD</c:v>
                  </c:pt>
                  <c:pt idx="25">
                    <c:v>1 x SLAD</c:v>
                  </c:pt>
                  <c:pt idx="26">
                    <c:v>1 x SLAD</c:v>
                  </c:pt>
                  <c:pt idx="27">
                    <c:v>1 x SLAD</c:v>
                  </c:pt>
                  <c:pt idx="28">
                    <c:v>1 x SLAD</c:v>
                  </c:pt>
                  <c:pt idx="29">
                    <c:v>1 x SLAD</c:v>
                  </c:pt>
                  <c:pt idx="30">
                    <c:v>1 x SLAD</c:v>
                  </c:pt>
                  <c:pt idx="31">
                    <c:v>1 x SLAD</c:v>
                  </c:pt>
                  <c:pt idx="32">
                    <c:v>1 x SLAD</c:v>
                  </c:pt>
                  <c:pt idx="33">
                    <c:v>1 x SLAD</c:v>
                  </c:pt>
                  <c:pt idx="34">
                    <c:v>1 x SLAD</c:v>
                  </c:pt>
                  <c:pt idx="35">
                    <c:v>1 x SLAD</c:v>
                  </c:pt>
                </c:lvl>
                <c:lvl>
                  <c:pt idx="0">
                    <c:v>796</c:v>
                  </c:pt>
                  <c:pt idx="1">
                    <c:v>796</c:v>
                  </c:pt>
                  <c:pt idx="2">
                    <c:v>796</c:v>
                  </c:pt>
                  <c:pt idx="3">
                    <c:v>796</c:v>
                  </c:pt>
                  <c:pt idx="4">
                    <c:v>1278B</c:v>
                  </c:pt>
                  <c:pt idx="5">
                    <c:v>1278B</c:v>
                  </c:pt>
                  <c:pt idx="6">
                    <c:v>1278B</c:v>
                  </c:pt>
                  <c:pt idx="7">
                    <c:v>1278B</c:v>
                  </c:pt>
                  <c:pt idx="8">
                    <c:v>L2056</c:v>
                  </c:pt>
                  <c:pt idx="9">
                    <c:v>L2056</c:v>
                  </c:pt>
                  <c:pt idx="10">
                    <c:v>L2056</c:v>
                  </c:pt>
                  <c:pt idx="11">
                    <c:v>L2056</c:v>
                  </c:pt>
                  <c:pt idx="12">
                    <c:v>796 fat1</c:v>
                  </c:pt>
                  <c:pt idx="13">
                    <c:v>796 fat1</c:v>
                  </c:pt>
                  <c:pt idx="14">
                    <c:v>796 fat1</c:v>
                  </c:pt>
                  <c:pt idx="15">
                    <c:v>796 fat1</c:v>
                  </c:pt>
                  <c:pt idx="16">
                    <c:v>796 gup1</c:v>
                  </c:pt>
                  <c:pt idx="17">
                    <c:v>796 gup1</c:v>
                  </c:pt>
                  <c:pt idx="18">
                    <c:v>796 gup1</c:v>
                  </c:pt>
                  <c:pt idx="19">
                    <c:v>796 gup1</c:v>
                  </c:pt>
                  <c:pt idx="20">
                    <c:v>796 nrt1</c:v>
                  </c:pt>
                  <c:pt idx="21">
                    <c:v>796 nrt1</c:v>
                  </c:pt>
                  <c:pt idx="22">
                    <c:v>796 nrt1</c:v>
                  </c:pt>
                  <c:pt idx="23">
                    <c:v>796 nrt1</c:v>
                  </c:pt>
                  <c:pt idx="24">
                    <c:v>796 skp2</c:v>
                  </c:pt>
                  <c:pt idx="25">
                    <c:v>796 skp2</c:v>
                  </c:pt>
                  <c:pt idx="26">
                    <c:v>796 skp2</c:v>
                  </c:pt>
                  <c:pt idx="27">
                    <c:v>796 skp2</c:v>
                  </c:pt>
                  <c:pt idx="28">
                    <c:v>796 soa1</c:v>
                  </c:pt>
                  <c:pt idx="29">
                    <c:v>796 soa1</c:v>
                  </c:pt>
                  <c:pt idx="30">
                    <c:v>796 soa1</c:v>
                  </c:pt>
                  <c:pt idx="31">
                    <c:v>796 soa1</c:v>
                  </c:pt>
                  <c:pt idx="32">
                    <c:v>796 yor1</c:v>
                  </c:pt>
                  <c:pt idx="33">
                    <c:v>796 yor1</c:v>
                  </c:pt>
                  <c:pt idx="34">
                    <c:v>796 yor1</c:v>
                  </c:pt>
                  <c:pt idx="35">
                    <c:v>796 yor1</c:v>
                  </c:pt>
                </c:lvl>
              </c:multiLvlStrCache>
            </c:multiLvlStrRef>
          </c:cat>
          <c:val>
            <c:numRef>
              <c:f>'E2 (Exp D) Day 6 (21_11)'!$L$2:$L$37</c:f>
              <c:numCache>
                <c:formatCode>0%</c:formatCode>
                <c:ptCount val="36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1</c:v>
                </c:pt>
                <c:pt idx="13">
                  <c:v>0.76470588235294112</c:v>
                </c:pt>
                <c:pt idx="15">
                  <c:v>-3.125E-2</c:v>
                </c:pt>
                <c:pt idx="17">
                  <c:v>0.10934089917066783</c:v>
                </c:pt>
                <c:pt idx="19">
                  <c:v>2.116704805491991E-2</c:v>
                </c:pt>
                <c:pt idx="21">
                  <c:v>0.90625</c:v>
                </c:pt>
                <c:pt idx="23">
                  <c:v>0.81481481481481488</c:v>
                </c:pt>
                <c:pt idx="25">
                  <c:v>0</c:v>
                </c:pt>
                <c:pt idx="27">
                  <c:v>-0.71666666666666667</c:v>
                </c:pt>
                <c:pt idx="29">
                  <c:v>0</c:v>
                </c:pt>
                <c:pt idx="31">
                  <c:v>0.30232558139534882</c:v>
                </c:pt>
                <c:pt idx="33">
                  <c:v>0.26315789473684215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D-5240-B556-9FB02C249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123935"/>
        <c:axId val="765787551"/>
      </c:barChart>
      <c:catAx>
        <c:axId val="76612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87551"/>
        <c:crosses val="autoZero"/>
        <c:auto val="1"/>
        <c:lblAlgn val="ctr"/>
        <c:lblOffset val="100"/>
        <c:noMultiLvlLbl val="0"/>
      </c:catAx>
      <c:valAx>
        <c:axId val="765787551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2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E4</a:t>
            </a:r>
            <a:r>
              <a:rPr lang="en-US" baseline="0"/>
              <a:t> Day 6 (Exp A, 5/12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'E4 (Exp A) Day 6 (5_12)'!$C$3:$G$49</c:f>
              <c:multiLvlStrCache>
                <c:ptCount val="47"/>
                <c:lvl>
                  <c:pt idx="0">
                    <c:v>0</c:v>
                  </c:pt>
                  <c:pt idx="1">
                    <c:v>400</c:v>
                  </c:pt>
                  <c:pt idx="2">
                    <c:v>0</c:v>
                  </c:pt>
                  <c:pt idx="3">
                    <c:v>400</c:v>
                  </c:pt>
                  <c:pt idx="4">
                    <c:v>0</c:v>
                  </c:pt>
                  <c:pt idx="5">
                    <c:v>400</c:v>
                  </c:pt>
                  <c:pt idx="6">
                    <c:v>0</c:v>
                  </c:pt>
                  <c:pt idx="7">
                    <c:v>400</c:v>
                  </c:pt>
                  <c:pt idx="8">
                    <c:v>0</c:v>
                  </c:pt>
                  <c:pt idx="9">
                    <c:v>400</c:v>
                  </c:pt>
                  <c:pt idx="10">
                    <c:v>0</c:v>
                  </c:pt>
                  <c:pt idx="11">
                    <c:v>400</c:v>
                  </c:pt>
                  <c:pt idx="13">
                    <c:v>0</c:v>
                  </c:pt>
                  <c:pt idx="14">
                    <c:v>400</c:v>
                  </c:pt>
                  <c:pt idx="15">
                    <c:v>0</c:v>
                  </c:pt>
                  <c:pt idx="16">
                    <c:v>400</c:v>
                  </c:pt>
                  <c:pt idx="18">
                    <c:v>0</c:v>
                  </c:pt>
                  <c:pt idx="19">
                    <c:v>400</c:v>
                  </c:pt>
                  <c:pt idx="20">
                    <c:v>0</c:v>
                  </c:pt>
                  <c:pt idx="21">
                    <c:v>400</c:v>
                  </c:pt>
                  <c:pt idx="23">
                    <c:v>0</c:v>
                  </c:pt>
                  <c:pt idx="24">
                    <c:v>400</c:v>
                  </c:pt>
                  <c:pt idx="25">
                    <c:v>0</c:v>
                  </c:pt>
                  <c:pt idx="26">
                    <c:v>400</c:v>
                  </c:pt>
                  <c:pt idx="28">
                    <c:v>0</c:v>
                  </c:pt>
                  <c:pt idx="29">
                    <c:v>400</c:v>
                  </c:pt>
                  <c:pt idx="30">
                    <c:v>0</c:v>
                  </c:pt>
                  <c:pt idx="31">
                    <c:v>400</c:v>
                  </c:pt>
                  <c:pt idx="33">
                    <c:v>0</c:v>
                  </c:pt>
                  <c:pt idx="34">
                    <c:v>400</c:v>
                  </c:pt>
                  <c:pt idx="35">
                    <c:v>0</c:v>
                  </c:pt>
                  <c:pt idx="36">
                    <c:v>400</c:v>
                  </c:pt>
                  <c:pt idx="38">
                    <c:v>0</c:v>
                  </c:pt>
                  <c:pt idx="39">
                    <c:v>400</c:v>
                  </c:pt>
                  <c:pt idx="40">
                    <c:v>0</c:v>
                  </c:pt>
                  <c:pt idx="41">
                    <c:v>400</c:v>
                  </c:pt>
                  <c:pt idx="43">
                    <c:v>0</c:v>
                  </c:pt>
                  <c:pt idx="44">
                    <c:v>400</c:v>
                  </c:pt>
                  <c:pt idx="45">
                    <c:v>0</c:v>
                  </c:pt>
                  <c:pt idx="46">
                    <c:v>400</c:v>
                  </c:pt>
                </c:lvl>
                <c:lvl>
                  <c:pt idx="0">
                    <c:v>50</c:v>
                  </c:pt>
                  <c:pt idx="1">
                    <c:v>50</c:v>
                  </c:pt>
                  <c:pt idx="2">
                    <c:v>75</c:v>
                  </c:pt>
                  <c:pt idx="3">
                    <c:v>75</c:v>
                  </c:pt>
                  <c:pt idx="4">
                    <c:v>50</c:v>
                  </c:pt>
                  <c:pt idx="5">
                    <c:v>50</c:v>
                  </c:pt>
                  <c:pt idx="6">
                    <c:v>75</c:v>
                  </c:pt>
                  <c:pt idx="7">
                    <c:v>75</c:v>
                  </c:pt>
                  <c:pt idx="8">
                    <c:v>50</c:v>
                  </c:pt>
                  <c:pt idx="9">
                    <c:v>50</c:v>
                  </c:pt>
                  <c:pt idx="10">
                    <c:v>75</c:v>
                  </c:pt>
                  <c:pt idx="11">
                    <c:v>75</c:v>
                  </c:pt>
                  <c:pt idx="13">
                    <c:v>50</c:v>
                  </c:pt>
                  <c:pt idx="14">
                    <c:v>50</c:v>
                  </c:pt>
                  <c:pt idx="15">
                    <c:v>75</c:v>
                  </c:pt>
                  <c:pt idx="16">
                    <c:v>75</c:v>
                  </c:pt>
                  <c:pt idx="18">
                    <c:v>50</c:v>
                  </c:pt>
                  <c:pt idx="19">
                    <c:v>50</c:v>
                  </c:pt>
                  <c:pt idx="20">
                    <c:v>75</c:v>
                  </c:pt>
                  <c:pt idx="21">
                    <c:v>75</c:v>
                  </c:pt>
                  <c:pt idx="23">
                    <c:v>50</c:v>
                  </c:pt>
                  <c:pt idx="24">
                    <c:v>50</c:v>
                  </c:pt>
                  <c:pt idx="25">
                    <c:v>75</c:v>
                  </c:pt>
                  <c:pt idx="26">
                    <c:v>75</c:v>
                  </c:pt>
                  <c:pt idx="28">
                    <c:v>50</c:v>
                  </c:pt>
                  <c:pt idx="29">
                    <c:v>50</c:v>
                  </c:pt>
                  <c:pt idx="30">
                    <c:v>75</c:v>
                  </c:pt>
                  <c:pt idx="31">
                    <c:v>75</c:v>
                  </c:pt>
                  <c:pt idx="33">
                    <c:v>50</c:v>
                  </c:pt>
                  <c:pt idx="34">
                    <c:v>50</c:v>
                  </c:pt>
                  <c:pt idx="35">
                    <c:v>75</c:v>
                  </c:pt>
                  <c:pt idx="36">
                    <c:v>75</c:v>
                  </c:pt>
                  <c:pt idx="38">
                    <c:v>50</c:v>
                  </c:pt>
                  <c:pt idx="39">
                    <c:v>50</c:v>
                  </c:pt>
                  <c:pt idx="40">
                    <c:v>75</c:v>
                  </c:pt>
                  <c:pt idx="41">
                    <c:v>75</c:v>
                  </c:pt>
                  <c:pt idx="43">
                    <c:v>50</c:v>
                  </c:pt>
                  <c:pt idx="44">
                    <c:v>50</c:v>
                  </c:pt>
                  <c:pt idx="45">
                    <c:v>75</c:v>
                  </c:pt>
                  <c:pt idx="46">
                    <c:v>75</c:v>
                  </c:pt>
                </c:lvl>
                <c:lvl>
                  <c:pt idx="0">
                    <c:v>2 x SLAD (BD agar)</c:v>
                  </c:pt>
                  <c:pt idx="1">
                    <c:v>2 x SLAD (BD agar)</c:v>
                  </c:pt>
                  <c:pt idx="2">
                    <c:v>2 x SLAD (BD agar)</c:v>
                  </c:pt>
                  <c:pt idx="3">
                    <c:v>2 x SLAD (BD agar)</c:v>
                  </c:pt>
                  <c:pt idx="4">
                    <c:v>2 x SLAD (BD agar)</c:v>
                  </c:pt>
                  <c:pt idx="5">
                    <c:v>2 x SLAD (BD agar)</c:v>
                  </c:pt>
                  <c:pt idx="6">
                    <c:v>2 x SLAD (BD agar)</c:v>
                  </c:pt>
                  <c:pt idx="7">
                    <c:v>2 x SLAD (BD agar)</c:v>
                  </c:pt>
                  <c:pt idx="8">
                    <c:v>2 x SLAD (BD agar)</c:v>
                  </c:pt>
                  <c:pt idx="9">
                    <c:v>2 x SLAD (BD agar)</c:v>
                  </c:pt>
                  <c:pt idx="10">
                    <c:v>2 x SLAD (BD agar)</c:v>
                  </c:pt>
                  <c:pt idx="11">
                    <c:v>2 x SLAD (BD agar)</c:v>
                  </c:pt>
                  <c:pt idx="13">
                    <c:v>2 x SLAD (BD agar)</c:v>
                  </c:pt>
                  <c:pt idx="14">
                    <c:v>2 x SLAD (BD agar)</c:v>
                  </c:pt>
                  <c:pt idx="15">
                    <c:v>2 x SLAD (BD agar)</c:v>
                  </c:pt>
                  <c:pt idx="16">
                    <c:v>2 x SLAD (BD agar)</c:v>
                  </c:pt>
                  <c:pt idx="18">
                    <c:v>2 x SLAD (BD agar)</c:v>
                  </c:pt>
                  <c:pt idx="19">
                    <c:v>2 x SLAD (BD agar)</c:v>
                  </c:pt>
                  <c:pt idx="20">
                    <c:v>2 x SLAD (BD agar)</c:v>
                  </c:pt>
                  <c:pt idx="21">
                    <c:v>2 x SLAD (BD agar)</c:v>
                  </c:pt>
                  <c:pt idx="23">
                    <c:v>2 x SLAD (BD agar)</c:v>
                  </c:pt>
                  <c:pt idx="24">
                    <c:v>2 x SLAD (BD agar)</c:v>
                  </c:pt>
                  <c:pt idx="25">
                    <c:v>2 x SLAD (BD agar)</c:v>
                  </c:pt>
                  <c:pt idx="26">
                    <c:v>2 x SLAD (BD agar)</c:v>
                  </c:pt>
                  <c:pt idx="28">
                    <c:v>2 x SLAD (BD agar)</c:v>
                  </c:pt>
                  <c:pt idx="29">
                    <c:v>2 x SLAD (BD agar)</c:v>
                  </c:pt>
                  <c:pt idx="30">
                    <c:v>2 x SLAD (BD agar)</c:v>
                  </c:pt>
                  <c:pt idx="31">
                    <c:v>2 x SLAD (BD agar)</c:v>
                  </c:pt>
                  <c:pt idx="33">
                    <c:v>2 x SLAD (BD agar)</c:v>
                  </c:pt>
                  <c:pt idx="34">
                    <c:v>2 x SLAD (BD agar)</c:v>
                  </c:pt>
                  <c:pt idx="35">
                    <c:v>2 x SLAD (BD agar)</c:v>
                  </c:pt>
                  <c:pt idx="36">
                    <c:v>2 x SLAD (BD agar)</c:v>
                  </c:pt>
                  <c:pt idx="38">
                    <c:v>2 x SLAD (BD agar)</c:v>
                  </c:pt>
                  <c:pt idx="39">
                    <c:v>2 x SLAD (BD agar)</c:v>
                  </c:pt>
                  <c:pt idx="40">
                    <c:v>2 x SLAD (BD agar)</c:v>
                  </c:pt>
                  <c:pt idx="41">
                    <c:v>2 x SLAD (BD agar)</c:v>
                  </c:pt>
                  <c:pt idx="43">
                    <c:v>2 x SLAD (BD agar)</c:v>
                  </c:pt>
                  <c:pt idx="44">
                    <c:v>2 x SLAD (BD agar)</c:v>
                  </c:pt>
                  <c:pt idx="45">
                    <c:v>2 x SLAD (BD agar)</c:v>
                  </c:pt>
                  <c:pt idx="46">
                    <c:v>2 x SLAD (BD agar)</c:v>
                  </c:pt>
                </c:lvl>
                <c:lvl>
                  <c:pt idx="0">
                    <c:v>1 x SLAD</c:v>
                  </c:pt>
                  <c:pt idx="1">
                    <c:v>1 x SLAD</c:v>
                  </c:pt>
                  <c:pt idx="2">
                    <c:v>1 x SLAD</c:v>
                  </c:pt>
                  <c:pt idx="3">
                    <c:v>1 x SLAD</c:v>
                  </c:pt>
                  <c:pt idx="4">
                    <c:v>2 x SLAD</c:v>
                  </c:pt>
                  <c:pt idx="5">
                    <c:v>2 x SLAD</c:v>
                  </c:pt>
                  <c:pt idx="6">
                    <c:v>2 x SLAD</c:v>
                  </c:pt>
                  <c:pt idx="7">
                    <c:v>2 x SLAD</c:v>
                  </c:pt>
                  <c:pt idx="8">
                    <c:v>2 x SLAD + 200 ug S/L</c:v>
                  </c:pt>
                  <c:pt idx="9">
                    <c:v>2 x SLAD + 200 ug S/L</c:v>
                  </c:pt>
                  <c:pt idx="10">
                    <c:v>2 x SLAD + 200 ug S/L</c:v>
                  </c:pt>
                  <c:pt idx="11">
                    <c:v>2 x SLAD + 200 ug S/L</c:v>
                  </c:pt>
                  <c:pt idx="13">
                    <c:v>1 x SLAD</c:v>
                  </c:pt>
                  <c:pt idx="14">
                    <c:v>1 x SLAD</c:v>
                  </c:pt>
                  <c:pt idx="15">
                    <c:v>1 x SLAD</c:v>
                  </c:pt>
                  <c:pt idx="16">
                    <c:v>1 x SLAD</c:v>
                  </c:pt>
                  <c:pt idx="18">
                    <c:v>1 x SLAD</c:v>
                  </c:pt>
                  <c:pt idx="19">
                    <c:v>1 x SLAD</c:v>
                  </c:pt>
                  <c:pt idx="20">
                    <c:v>1 x SLAD</c:v>
                  </c:pt>
                  <c:pt idx="21">
                    <c:v>1 x SLAD</c:v>
                  </c:pt>
                  <c:pt idx="23">
                    <c:v>1 x SLAD</c:v>
                  </c:pt>
                  <c:pt idx="24">
                    <c:v>1 x SLAD</c:v>
                  </c:pt>
                  <c:pt idx="25">
                    <c:v>1 x SLAD</c:v>
                  </c:pt>
                  <c:pt idx="26">
                    <c:v>1 x SLAD</c:v>
                  </c:pt>
                  <c:pt idx="28">
                    <c:v>1 x SLAD</c:v>
                  </c:pt>
                  <c:pt idx="29">
                    <c:v>1 x SLAD</c:v>
                  </c:pt>
                  <c:pt idx="30">
                    <c:v>1 x SLAD</c:v>
                  </c:pt>
                  <c:pt idx="31">
                    <c:v>1 x SLAD</c:v>
                  </c:pt>
                  <c:pt idx="33">
                    <c:v>1 x SLAD</c:v>
                  </c:pt>
                  <c:pt idx="34">
                    <c:v>1 x SLAD</c:v>
                  </c:pt>
                  <c:pt idx="35">
                    <c:v>1 x SLAD</c:v>
                  </c:pt>
                  <c:pt idx="36">
                    <c:v>1 x SLAD</c:v>
                  </c:pt>
                  <c:pt idx="38">
                    <c:v>1 x SLAD</c:v>
                  </c:pt>
                  <c:pt idx="39">
                    <c:v>1 x SLAD</c:v>
                  </c:pt>
                  <c:pt idx="40">
                    <c:v>1 x SLAD</c:v>
                  </c:pt>
                  <c:pt idx="41">
                    <c:v>1 x SLAD</c:v>
                  </c:pt>
                  <c:pt idx="43">
                    <c:v>1 x SLAD</c:v>
                  </c:pt>
                  <c:pt idx="44">
                    <c:v>1 x SLAD</c:v>
                  </c:pt>
                  <c:pt idx="45">
                    <c:v>1 x SLAD</c:v>
                  </c:pt>
                  <c:pt idx="46">
                    <c:v>1 x SLAD</c:v>
                  </c:pt>
                </c:lvl>
                <c:lvl>
                  <c:pt idx="0">
                    <c:v>796</c:v>
                  </c:pt>
                  <c:pt idx="1">
                    <c:v>796</c:v>
                  </c:pt>
                  <c:pt idx="2">
                    <c:v>796</c:v>
                  </c:pt>
                  <c:pt idx="3">
                    <c:v>796</c:v>
                  </c:pt>
                  <c:pt idx="4">
                    <c:v>796</c:v>
                  </c:pt>
                  <c:pt idx="5">
                    <c:v>796</c:v>
                  </c:pt>
                  <c:pt idx="6">
                    <c:v>796</c:v>
                  </c:pt>
                  <c:pt idx="7">
                    <c:v>796</c:v>
                  </c:pt>
                  <c:pt idx="8">
                    <c:v>796</c:v>
                  </c:pt>
                  <c:pt idx="9">
                    <c:v>796</c:v>
                  </c:pt>
                  <c:pt idx="10">
                    <c:v>796</c:v>
                  </c:pt>
                  <c:pt idx="11">
                    <c:v>796</c:v>
                  </c:pt>
                  <c:pt idx="13">
                    <c:v> 796 alr2</c:v>
                  </c:pt>
                  <c:pt idx="14">
                    <c:v> 797 alr2</c:v>
                  </c:pt>
                  <c:pt idx="15">
                    <c:v> 798 alr2</c:v>
                  </c:pt>
                  <c:pt idx="16">
                    <c:v> 799 alr2</c:v>
                  </c:pt>
                  <c:pt idx="18">
                    <c:v> 796 ato3</c:v>
                  </c:pt>
                  <c:pt idx="19">
                    <c:v> 797 ato3</c:v>
                  </c:pt>
                  <c:pt idx="20">
                    <c:v> 798 ato3</c:v>
                  </c:pt>
                  <c:pt idx="21">
                    <c:v> 799 ato3</c:v>
                  </c:pt>
                  <c:pt idx="23">
                    <c:v> 796 dur3</c:v>
                  </c:pt>
                  <c:pt idx="24">
                    <c:v> 797 dur3</c:v>
                  </c:pt>
                  <c:pt idx="25">
                    <c:v> 798 dur3</c:v>
                  </c:pt>
                  <c:pt idx="26">
                    <c:v> 799 dur3</c:v>
                  </c:pt>
                  <c:pt idx="28">
                    <c:v> 796 fui1</c:v>
                  </c:pt>
                  <c:pt idx="29">
                    <c:v> 797 fui1</c:v>
                  </c:pt>
                  <c:pt idx="30">
                    <c:v> 798 fui1</c:v>
                  </c:pt>
                  <c:pt idx="31">
                    <c:v> 799 fui1</c:v>
                  </c:pt>
                  <c:pt idx="33">
                    <c:v> 796 mid1</c:v>
                  </c:pt>
                  <c:pt idx="34">
                    <c:v> 797 mid1</c:v>
                  </c:pt>
                  <c:pt idx="35">
                    <c:v> 798 mid1</c:v>
                  </c:pt>
                  <c:pt idx="36">
                    <c:v> 799 mid1</c:v>
                  </c:pt>
                  <c:pt idx="38">
                    <c:v> 796 msb2</c:v>
                  </c:pt>
                  <c:pt idx="39">
                    <c:v> 797 msb2</c:v>
                  </c:pt>
                  <c:pt idx="40">
                    <c:v> 798 msb2</c:v>
                  </c:pt>
                  <c:pt idx="41">
                    <c:v> 799 msb2</c:v>
                  </c:pt>
                  <c:pt idx="43">
                    <c:v> 796 tpo4</c:v>
                  </c:pt>
                  <c:pt idx="44">
                    <c:v> 797 tpo4</c:v>
                  </c:pt>
                  <c:pt idx="45">
                    <c:v> 798 tpo4</c:v>
                  </c:pt>
                  <c:pt idx="46">
                    <c:v> 799 tpo4</c:v>
                  </c:pt>
                </c:lvl>
              </c:multiLvlStrCache>
            </c:multiLvlStrRef>
          </c:cat>
          <c:val>
            <c:numRef>
              <c:f>'E4 (Exp A) Day 6 (5_12)'!$L$3:$L$49</c:f>
              <c:numCache>
                <c:formatCode>0%</c:formatCode>
                <c:ptCount val="47"/>
                <c:pt idx="1">
                  <c:v>0.25</c:v>
                </c:pt>
                <c:pt idx="3">
                  <c:v>0.26623376623376616</c:v>
                </c:pt>
                <c:pt idx="5">
                  <c:v>0.65</c:v>
                </c:pt>
                <c:pt idx="7">
                  <c:v>0.38974358974358975</c:v>
                </c:pt>
                <c:pt idx="9">
                  <c:v>0.30303030303030298</c:v>
                </c:pt>
                <c:pt idx="11">
                  <c:v>0.6430769230769231</c:v>
                </c:pt>
                <c:pt idx="14">
                  <c:v>0.22</c:v>
                </c:pt>
                <c:pt idx="16">
                  <c:v>-0.11538461538461539</c:v>
                </c:pt>
                <c:pt idx="19">
                  <c:v>0.76436781609195403</c:v>
                </c:pt>
                <c:pt idx="21">
                  <c:v>-3.4181240063593007E-2</c:v>
                </c:pt>
                <c:pt idx="24">
                  <c:v>-2.6315789473684181E-2</c:v>
                </c:pt>
                <c:pt idx="26">
                  <c:v>0</c:v>
                </c:pt>
                <c:pt idx="29">
                  <c:v>0.87666666666666659</c:v>
                </c:pt>
                <c:pt idx="31">
                  <c:v>-3.1007751937984551E-2</c:v>
                </c:pt>
                <c:pt idx="34">
                  <c:v>0.38095238095238093</c:v>
                </c:pt>
                <c:pt idx="36">
                  <c:v>0</c:v>
                </c:pt>
                <c:pt idx="39">
                  <c:v>5.128205128205128E-2</c:v>
                </c:pt>
                <c:pt idx="41">
                  <c:v>0</c:v>
                </c:pt>
                <c:pt idx="44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6-4148-99C1-3A8BC8F3B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123935"/>
        <c:axId val="765787551"/>
      </c:barChart>
      <c:catAx>
        <c:axId val="76612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87551"/>
        <c:crosses val="autoZero"/>
        <c:auto val="1"/>
        <c:lblAlgn val="ctr"/>
        <c:lblOffset val="100"/>
        <c:noMultiLvlLbl val="0"/>
      </c:catAx>
      <c:valAx>
        <c:axId val="76578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2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36</xdr:col>
      <xdr:colOff>584200</xdr:colOff>
      <xdr:row>33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B841C-4916-2141-A4D6-6A6BD1739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35</xdr:col>
      <xdr:colOff>127000</xdr:colOff>
      <xdr:row>66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AE255-EE37-C741-AD71-9EA3AEDE5022}"/>
            </a:ext>
            <a:ext uri="{147F2762-F138-4A5C-976F-8EAC2B608ADB}">
              <a16:predDERef xmlns:a16="http://schemas.microsoft.com/office/drawing/2014/main" pred="{8D9B841C-4916-2141-A4D6-6A6BD1739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69</xdr:row>
      <xdr:rowOff>0</xdr:rowOff>
    </xdr:from>
    <xdr:to>
      <xdr:col>37</xdr:col>
      <xdr:colOff>342900</xdr:colOff>
      <xdr:row>103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7D5E90-89E2-BA4B-B230-7BE9FCE962D0}"/>
            </a:ext>
            <a:ext uri="{147F2762-F138-4A5C-976F-8EAC2B608ADB}">
              <a16:predDERef xmlns:a16="http://schemas.microsoft.com/office/drawing/2014/main" pred="{BE7AE255-EE37-C741-AD71-9EA3AEDE5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105</xdr:row>
      <xdr:rowOff>0</xdr:rowOff>
    </xdr:from>
    <xdr:to>
      <xdr:col>36</xdr:col>
      <xdr:colOff>584200</xdr:colOff>
      <xdr:row>137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22EB6F-B04B-C643-B9FB-1604A1CAE9E0}"/>
            </a:ext>
            <a:ext uri="{147F2762-F138-4A5C-976F-8EAC2B608ADB}">
              <a16:predDERef xmlns:a16="http://schemas.microsoft.com/office/drawing/2014/main" pred="{767D5E90-89E2-BA4B-B230-7BE9FCE96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139</xdr:row>
      <xdr:rowOff>0</xdr:rowOff>
    </xdr:from>
    <xdr:to>
      <xdr:col>33</xdr:col>
      <xdr:colOff>495300</xdr:colOff>
      <xdr:row>166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C86A72-27FB-ED4C-BCA7-51382503BE54}"/>
            </a:ext>
            <a:ext uri="{147F2762-F138-4A5C-976F-8EAC2B608ADB}">
              <a16:predDERef xmlns:a16="http://schemas.microsoft.com/office/drawing/2014/main" pred="{CD22EB6F-B04B-C643-B9FB-1604A1CAE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B6D-F01E-B440-957D-2046496F9409}">
  <dimension ref="A1:M79"/>
  <sheetViews>
    <sheetView tabSelected="1" workbookViewId="0">
      <selection activeCell="F1" sqref="F1"/>
    </sheetView>
  </sheetViews>
  <sheetFormatPr baseColWidth="10" defaultColWidth="11" defaultRowHeight="16" x14ac:dyDescent="0.2"/>
  <cols>
    <col min="5" max="6" width="16.83203125" customWidth="1"/>
  </cols>
  <sheetData>
    <row r="1" spans="1:13" ht="119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117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1" t="s">
        <v>11</v>
      </c>
    </row>
    <row r="2" spans="1:13" x14ac:dyDescent="0.2">
      <c r="A2" s="2">
        <v>43777</v>
      </c>
      <c r="B2" s="2">
        <v>43780</v>
      </c>
      <c r="C2">
        <v>796</v>
      </c>
      <c r="D2" t="s">
        <v>12</v>
      </c>
      <c r="E2" t="s">
        <v>13</v>
      </c>
      <c r="F2" t="s">
        <v>14</v>
      </c>
      <c r="G2">
        <v>50</v>
      </c>
      <c r="I2">
        <v>3</v>
      </c>
      <c r="J2">
        <v>40</v>
      </c>
      <c r="K2">
        <v>0</v>
      </c>
      <c r="L2" s="3">
        <f>K2/J2</f>
        <v>0</v>
      </c>
      <c r="M2" s="5"/>
    </row>
    <row r="3" spans="1:13" x14ac:dyDescent="0.2">
      <c r="A3" s="2">
        <v>43777</v>
      </c>
      <c r="B3" s="2">
        <v>43780</v>
      </c>
      <c r="C3">
        <v>796</v>
      </c>
      <c r="D3" t="s">
        <v>12</v>
      </c>
      <c r="E3" t="s">
        <v>13</v>
      </c>
      <c r="F3" t="s">
        <v>14</v>
      </c>
      <c r="G3">
        <v>50</v>
      </c>
      <c r="H3">
        <v>400</v>
      </c>
      <c r="I3">
        <v>3</v>
      </c>
      <c r="J3">
        <v>49</v>
      </c>
      <c r="K3">
        <v>0</v>
      </c>
      <c r="L3" s="3">
        <f t="shared" ref="L3" si="0">K3/J3</f>
        <v>0</v>
      </c>
      <c r="M3" s="6">
        <f>L3-L2</f>
        <v>0</v>
      </c>
    </row>
    <row r="4" spans="1:13" x14ac:dyDescent="0.2">
      <c r="A4" s="2">
        <v>43777</v>
      </c>
      <c r="B4" s="2">
        <v>43780</v>
      </c>
      <c r="C4">
        <v>796</v>
      </c>
      <c r="D4" t="s">
        <v>12</v>
      </c>
      <c r="E4" t="s">
        <v>13</v>
      </c>
      <c r="F4" t="s">
        <v>14</v>
      </c>
      <c r="G4">
        <v>50</v>
      </c>
      <c r="H4">
        <v>750</v>
      </c>
      <c r="I4">
        <v>3</v>
      </c>
      <c r="J4">
        <v>47</v>
      </c>
      <c r="K4">
        <v>8</v>
      </c>
      <c r="L4" s="3">
        <f t="shared" ref="L4" si="1">K4/J4</f>
        <v>0.1702127659574468</v>
      </c>
      <c r="M4" s="6">
        <f>L4-L2</f>
        <v>0.1702127659574468</v>
      </c>
    </row>
    <row r="5" spans="1:13" x14ac:dyDescent="0.2">
      <c r="A5" s="2">
        <v>43777</v>
      </c>
      <c r="B5" s="2">
        <v>43780</v>
      </c>
      <c r="C5">
        <v>796</v>
      </c>
      <c r="D5" t="s">
        <v>12</v>
      </c>
      <c r="E5" t="s">
        <v>13</v>
      </c>
      <c r="F5" t="s">
        <v>14</v>
      </c>
      <c r="G5">
        <v>75</v>
      </c>
      <c r="I5">
        <v>3</v>
      </c>
      <c r="J5">
        <v>50</v>
      </c>
      <c r="K5">
        <v>0</v>
      </c>
      <c r="L5" s="3">
        <f>K5/J5</f>
        <v>0</v>
      </c>
      <c r="M5" s="5"/>
    </row>
    <row r="6" spans="1:13" x14ac:dyDescent="0.2">
      <c r="A6" s="2">
        <v>43777</v>
      </c>
      <c r="B6" s="2">
        <v>43780</v>
      </c>
      <c r="C6">
        <v>796</v>
      </c>
      <c r="D6" t="s">
        <v>12</v>
      </c>
      <c r="E6" t="s">
        <v>13</v>
      </c>
      <c r="F6" t="s">
        <v>14</v>
      </c>
      <c r="G6">
        <v>75</v>
      </c>
      <c r="H6">
        <v>400</v>
      </c>
      <c r="I6">
        <v>3</v>
      </c>
      <c r="J6">
        <v>49</v>
      </c>
      <c r="K6">
        <v>1</v>
      </c>
      <c r="L6" s="3">
        <f t="shared" ref="L6:L7" si="2">K6/J6</f>
        <v>2.0408163265306121E-2</v>
      </c>
      <c r="M6" s="6">
        <f>L6-L5</f>
        <v>2.0408163265306121E-2</v>
      </c>
    </row>
    <row r="7" spans="1:13" x14ac:dyDescent="0.2">
      <c r="A7" s="2">
        <v>43777</v>
      </c>
      <c r="B7" s="2">
        <v>43780</v>
      </c>
      <c r="C7">
        <v>796</v>
      </c>
      <c r="D7" t="s">
        <v>12</v>
      </c>
      <c r="E7" t="s">
        <v>13</v>
      </c>
      <c r="F7" t="s">
        <v>14</v>
      </c>
      <c r="G7">
        <v>75</v>
      </c>
      <c r="H7">
        <v>750</v>
      </c>
      <c r="I7">
        <v>3</v>
      </c>
      <c r="J7">
        <v>40</v>
      </c>
      <c r="K7">
        <v>0</v>
      </c>
      <c r="L7" s="3">
        <f t="shared" si="2"/>
        <v>0</v>
      </c>
      <c r="M7" s="6">
        <f>L7-L5</f>
        <v>0</v>
      </c>
    </row>
    <row r="8" spans="1:13" x14ac:dyDescent="0.2">
      <c r="A8" s="2">
        <v>43777</v>
      </c>
      <c r="B8" s="2">
        <v>43780</v>
      </c>
      <c r="C8">
        <v>796</v>
      </c>
      <c r="D8" t="s">
        <v>12</v>
      </c>
      <c r="E8" t="s">
        <v>13</v>
      </c>
      <c r="F8" t="s">
        <v>14</v>
      </c>
      <c r="G8">
        <v>100</v>
      </c>
      <c r="I8">
        <v>3</v>
      </c>
      <c r="J8">
        <v>51</v>
      </c>
      <c r="K8">
        <v>0</v>
      </c>
      <c r="L8" s="3">
        <f>K8/J8</f>
        <v>0</v>
      </c>
      <c r="M8" s="5"/>
    </row>
    <row r="9" spans="1:13" x14ac:dyDescent="0.2">
      <c r="A9" s="2">
        <v>43777</v>
      </c>
      <c r="B9" s="2">
        <v>43780</v>
      </c>
      <c r="C9">
        <v>796</v>
      </c>
      <c r="D9" t="s">
        <v>12</v>
      </c>
      <c r="E9" t="s">
        <v>13</v>
      </c>
      <c r="F9" t="s">
        <v>14</v>
      </c>
      <c r="G9">
        <v>100</v>
      </c>
      <c r="H9">
        <v>400</v>
      </c>
      <c r="I9">
        <v>3</v>
      </c>
      <c r="J9">
        <v>42</v>
      </c>
      <c r="K9">
        <v>0</v>
      </c>
      <c r="L9" s="3">
        <f t="shared" ref="L9:L10" si="3">K9/J9</f>
        <v>0</v>
      </c>
      <c r="M9" s="6">
        <f>L9-L8</f>
        <v>0</v>
      </c>
    </row>
    <row r="10" spans="1:13" x14ac:dyDescent="0.2">
      <c r="A10" s="2">
        <v>43777</v>
      </c>
      <c r="B10" s="2">
        <v>43780</v>
      </c>
      <c r="C10">
        <v>796</v>
      </c>
      <c r="D10" t="s">
        <v>12</v>
      </c>
      <c r="E10" t="s">
        <v>13</v>
      </c>
      <c r="F10" t="s">
        <v>14</v>
      </c>
      <c r="G10">
        <v>100</v>
      </c>
      <c r="H10">
        <v>750</v>
      </c>
      <c r="I10">
        <v>3</v>
      </c>
      <c r="J10">
        <v>50</v>
      </c>
      <c r="K10">
        <v>0</v>
      </c>
      <c r="L10" s="3">
        <f t="shared" si="3"/>
        <v>0</v>
      </c>
      <c r="M10" s="6">
        <f>L10-L8</f>
        <v>0</v>
      </c>
    </row>
    <row r="11" spans="1:13" x14ac:dyDescent="0.2">
      <c r="A11" s="2">
        <v>43777</v>
      </c>
      <c r="B11" s="2">
        <v>43780</v>
      </c>
      <c r="C11">
        <v>796</v>
      </c>
      <c r="D11" t="s">
        <v>12</v>
      </c>
      <c r="E11" t="s">
        <v>15</v>
      </c>
      <c r="F11" t="s">
        <v>14</v>
      </c>
      <c r="G11">
        <v>50</v>
      </c>
      <c r="I11">
        <v>3</v>
      </c>
      <c r="J11">
        <v>48</v>
      </c>
      <c r="K11">
        <v>0</v>
      </c>
      <c r="L11" s="3">
        <f>K11/J11</f>
        <v>0</v>
      </c>
      <c r="M11" s="5"/>
    </row>
    <row r="12" spans="1:13" x14ac:dyDescent="0.2">
      <c r="A12" s="2">
        <v>43777</v>
      </c>
      <c r="B12" s="2">
        <v>43780</v>
      </c>
      <c r="C12">
        <v>796</v>
      </c>
      <c r="D12" t="s">
        <v>12</v>
      </c>
      <c r="E12" t="s">
        <v>15</v>
      </c>
      <c r="F12" t="s">
        <v>14</v>
      </c>
      <c r="G12">
        <v>50</v>
      </c>
      <c r="H12">
        <v>400</v>
      </c>
      <c r="I12">
        <v>3</v>
      </c>
      <c r="J12">
        <v>39</v>
      </c>
      <c r="K12">
        <v>0</v>
      </c>
      <c r="L12" s="3">
        <f t="shared" ref="L12:L13" si="4">K12/J12</f>
        <v>0</v>
      </c>
      <c r="M12" s="6">
        <f>L12-L11</f>
        <v>0</v>
      </c>
    </row>
    <row r="13" spans="1:13" x14ac:dyDescent="0.2">
      <c r="A13" s="2">
        <v>43777</v>
      </c>
      <c r="B13" s="2">
        <v>43780</v>
      </c>
      <c r="C13">
        <v>796</v>
      </c>
      <c r="D13" t="s">
        <v>12</v>
      </c>
      <c r="E13" t="s">
        <v>15</v>
      </c>
      <c r="F13" t="s">
        <v>14</v>
      </c>
      <c r="G13">
        <v>50</v>
      </c>
      <c r="H13">
        <v>750</v>
      </c>
      <c r="I13">
        <v>3</v>
      </c>
      <c r="J13">
        <v>50</v>
      </c>
      <c r="K13">
        <v>30</v>
      </c>
      <c r="L13" s="3">
        <f t="shared" si="4"/>
        <v>0.6</v>
      </c>
      <c r="M13" s="6">
        <f>L13-L11</f>
        <v>0.6</v>
      </c>
    </row>
    <row r="14" spans="1:13" x14ac:dyDescent="0.2">
      <c r="A14" s="2">
        <v>43777</v>
      </c>
      <c r="B14" s="2">
        <v>43780</v>
      </c>
      <c r="C14">
        <v>796</v>
      </c>
      <c r="D14" t="s">
        <v>12</v>
      </c>
      <c r="E14" t="s">
        <v>15</v>
      </c>
      <c r="F14" t="s">
        <v>14</v>
      </c>
      <c r="G14">
        <v>75</v>
      </c>
      <c r="I14">
        <v>3</v>
      </c>
      <c r="J14">
        <v>49</v>
      </c>
      <c r="K14">
        <v>5</v>
      </c>
      <c r="L14" s="3">
        <f>K14/J14</f>
        <v>0.10204081632653061</v>
      </c>
      <c r="M14" s="5"/>
    </row>
    <row r="15" spans="1:13" x14ac:dyDescent="0.2">
      <c r="A15" s="2">
        <v>43777</v>
      </c>
      <c r="B15" s="2">
        <v>43780</v>
      </c>
      <c r="C15">
        <v>796</v>
      </c>
      <c r="D15" t="s">
        <v>12</v>
      </c>
      <c r="E15" t="s">
        <v>15</v>
      </c>
      <c r="F15" t="s">
        <v>14</v>
      </c>
      <c r="G15">
        <v>75</v>
      </c>
      <c r="H15">
        <v>400</v>
      </c>
      <c r="I15">
        <v>3</v>
      </c>
      <c r="J15">
        <v>49</v>
      </c>
      <c r="K15">
        <v>49</v>
      </c>
      <c r="L15" s="3">
        <f t="shared" ref="L15:L16" si="5">K15/J15</f>
        <v>1</v>
      </c>
      <c r="M15" s="6">
        <f>L15-L14</f>
        <v>0.89795918367346939</v>
      </c>
    </row>
    <row r="16" spans="1:13" x14ac:dyDescent="0.2">
      <c r="A16" s="2">
        <v>43777</v>
      </c>
      <c r="B16" s="2">
        <v>43780</v>
      </c>
      <c r="C16">
        <v>796</v>
      </c>
      <c r="D16" t="s">
        <v>12</v>
      </c>
      <c r="E16" t="s">
        <v>15</v>
      </c>
      <c r="F16" t="s">
        <v>14</v>
      </c>
      <c r="G16">
        <v>75</v>
      </c>
      <c r="H16">
        <v>750</v>
      </c>
      <c r="I16">
        <v>3</v>
      </c>
      <c r="J16">
        <v>40</v>
      </c>
      <c r="K16">
        <v>20</v>
      </c>
      <c r="L16" s="3">
        <f t="shared" si="5"/>
        <v>0.5</v>
      </c>
      <c r="M16" s="6">
        <f>L16-L14</f>
        <v>0.39795918367346939</v>
      </c>
    </row>
    <row r="17" spans="1:13" x14ac:dyDescent="0.2">
      <c r="A17" s="2">
        <v>43777</v>
      </c>
      <c r="B17" s="2">
        <v>43780</v>
      </c>
      <c r="C17">
        <v>796</v>
      </c>
      <c r="D17" t="s">
        <v>12</v>
      </c>
      <c r="E17" t="s">
        <v>15</v>
      </c>
      <c r="F17" t="s">
        <v>14</v>
      </c>
      <c r="G17">
        <v>100</v>
      </c>
      <c r="I17">
        <v>3</v>
      </c>
      <c r="J17">
        <v>39</v>
      </c>
      <c r="K17">
        <v>0</v>
      </c>
      <c r="L17" s="3">
        <f>K17/J17</f>
        <v>0</v>
      </c>
      <c r="M17" s="5"/>
    </row>
    <row r="18" spans="1:13" x14ac:dyDescent="0.2">
      <c r="A18" s="2">
        <v>43777</v>
      </c>
      <c r="B18" s="2">
        <v>43780</v>
      </c>
      <c r="C18">
        <v>796</v>
      </c>
      <c r="D18" t="s">
        <v>12</v>
      </c>
      <c r="E18" t="s">
        <v>15</v>
      </c>
      <c r="F18" t="s">
        <v>14</v>
      </c>
      <c r="G18">
        <v>100</v>
      </c>
      <c r="H18">
        <v>400</v>
      </c>
      <c r="I18">
        <v>3</v>
      </c>
      <c r="J18">
        <v>38</v>
      </c>
      <c r="K18">
        <v>0</v>
      </c>
      <c r="L18" s="3">
        <f t="shared" ref="L18:L19" si="6">K18/J18</f>
        <v>0</v>
      </c>
      <c r="M18" s="6">
        <f>L18-L17</f>
        <v>0</v>
      </c>
    </row>
    <row r="19" spans="1:13" x14ac:dyDescent="0.2">
      <c r="A19" s="2">
        <v>43777</v>
      </c>
      <c r="B19" s="2">
        <v>43780</v>
      </c>
      <c r="C19">
        <v>796</v>
      </c>
      <c r="D19" t="s">
        <v>12</v>
      </c>
      <c r="E19" t="s">
        <v>15</v>
      </c>
      <c r="F19" t="s">
        <v>14</v>
      </c>
      <c r="G19">
        <v>100</v>
      </c>
      <c r="H19">
        <v>750</v>
      </c>
      <c r="I19">
        <v>3</v>
      </c>
      <c r="J19">
        <v>43</v>
      </c>
      <c r="K19">
        <v>1</v>
      </c>
      <c r="L19" s="3">
        <f t="shared" si="6"/>
        <v>2.3255813953488372E-2</v>
      </c>
      <c r="M19" s="6">
        <f>L19-L17</f>
        <v>2.3255813953488372E-2</v>
      </c>
    </row>
    <row r="20" spans="1:13" x14ac:dyDescent="0.2">
      <c r="A20" s="2">
        <v>43777</v>
      </c>
      <c r="B20" s="2">
        <v>43780</v>
      </c>
      <c r="C20">
        <v>796</v>
      </c>
      <c r="D20" t="s">
        <v>12</v>
      </c>
      <c r="E20" t="s">
        <v>13</v>
      </c>
      <c r="F20" t="s">
        <v>16</v>
      </c>
      <c r="G20">
        <v>50</v>
      </c>
      <c r="I20">
        <v>3</v>
      </c>
      <c r="J20">
        <v>65</v>
      </c>
      <c r="K20">
        <v>59</v>
      </c>
      <c r="L20" s="3">
        <f>K20/J20</f>
        <v>0.90769230769230769</v>
      </c>
      <c r="M20" s="5"/>
    </row>
    <row r="21" spans="1:13" x14ac:dyDescent="0.2">
      <c r="A21" s="2">
        <v>43777</v>
      </c>
      <c r="B21" s="2">
        <v>43780</v>
      </c>
      <c r="C21">
        <v>796</v>
      </c>
      <c r="D21" t="s">
        <v>12</v>
      </c>
      <c r="E21" t="s">
        <v>13</v>
      </c>
      <c r="F21" t="s">
        <v>16</v>
      </c>
      <c r="G21">
        <v>50</v>
      </c>
      <c r="H21">
        <v>400</v>
      </c>
      <c r="I21">
        <v>3</v>
      </c>
      <c r="J21">
        <v>39</v>
      </c>
      <c r="K21">
        <v>3</v>
      </c>
      <c r="L21" s="3">
        <f t="shared" ref="L21:L22" si="7">K21/J21</f>
        <v>7.6923076923076927E-2</v>
      </c>
      <c r="M21" s="6">
        <f>L21-L20</f>
        <v>-0.8307692307692307</v>
      </c>
    </row>
    <row r="22" spans="1:13" x14ac:dyDescent="0.2">
      <c r="A22" s="2">
        <v>43777</v>
      </c>
      <c r="B22" s="2">
        <v>43780</v>
      </c>
      <c r="C22">
        <v>796</v>
      </c>
      <c r="D22" t="s">
        <v>12</v>
      </c>
      <c r="E22" t="s">
        <v>13</v>
      </c>
      <c r="F22" t="s">
        <v>16</v>
      </c>
      <c r="G22">
        <v>50</v>
      </c>
      <c r="H22">
        <v>750</v>
      </c>
      <c r="I22">
        <v>3</v>
      </c>
      <c r="J22">
        <v>44</v>
      </c>
      <c r="K22">
        <v>40</v>
      </c>
      <c r="L22" s="3">
        <f t="shared" si="7"/>
        <v>0.90909090909090906</v>
      </c>
      <c r="M22" s="6">
        <f>L22-L20</f>
        <v>1.3986013986013734E-3</v>
      </c>
    </row>
    <row r="23" spans="1:13" x14ac:dyDescent="0.2">
      <c r="A23" s="2">
        <v>43777</v>
      </c>
      <c r="B23" s="2">
        <v>43780</v>
      </c>
      <c r="C23">
        <v>796</v>
      </c>
      <c r="D23" t="s">
        <v>12</v>
      </c>
      <c r="E23" t="s">
        <v>13</v>
      </c>
      <c r="F23" t="s">
        <v>16</v>
      </c>
      <c r="G23">
        <v>75</v>
      </c>
      <c r="I23">
        <v>3</v>
      </c>
      <c r="J23">
        <v>42</v>
      </c>
      <c r="K23">
        <v>21</v>
      </c>
      <c r="L23" s="3">
        <f>K23/J23</f>
        <v>0.5</v>
      </c>
      <c r="M23" s="5"/>
    </row>
    <row r="24" spans="1:13" x14ac:dyDescent="0.2">
      <c r="A24" s="2">
        <v>43777</v>
      </c>
      <c r="B24" s="2">
        <v>43780</v>
      </c>
      <c r="C24">
        <v>796</v>
      </c>
      <c r="D24" t="s">
        <v>12</v>
      </c>
      <c r="E24" t="s">
        <v>13</v>
      </c>
      <c r="F24" t="s">
        <v>16</v>
      </c>
      <c r="G24">
        <v>75</v>
      </c>
      <c r="H24">
        <v>400</v>
      </c>
      <c r="I24">
        <v>3</v>
      </c>
      <c r="J24">
        <v>42</v>
      </c>
      <c r="K24">
        <v>0</v>
      </c>
      <c r="L24" s="3">
        <f t="shared" ref="L24:L25" si="8">K24/J24</f>
        <v>0</v>
      </c>
      <c r="M24" s="6">
        <f>L24-L23</f>
        <v>-0.5</v>
      </c>
    </row>
    <row r="25" spans="1:13" x14ac:dyDescent="0.2">
      <c r="A25" s="2">
        <v>43777</v>
      </c>
      <c r="B25" s="2">
        <v>43780</v>
      </c>
      <c r="C25">
        <v>796</v>
      </c>
      <c r="D25" t="s">
        <v>12</v>
      </c>
      <c r="E25" t="s">
        <v>13</v>
      </c>
      <c r="F25" t="s">
        <v>16</v>
      </c>
      <c r="G25">
        <v>75</v>
      </c>
      <c r="H25">
        <v>750</v>
      </c>
      <c r="I25">
        <v>3</v>
      </c>
      <c r="J25">
        <v>50</v>
      </c>
      <c r="K25">
        <v>6</v>
      </c>
      <c r="L25" s="3">
        <f t="shared" si="8"/>
        <v>0.12</v>
      </c>
      <c r="M25" s="6">
        <f>L25-L23</f>
        <v>-0.38</v>
      </c>
    </row>
    <row r="26" spans="1:13" x14ac:dyDescent="0.2">
      <c r="A26" s="2">
        <v>43777</v>
      </c>
      <c r="B26" s="2">
        <v>43780</v>
      </c>
      <c r="C26">
        <v>796</v>
      </c>
      <c r="D26" t="s">
        <v>12</v>
      </c>
      <c r="E26" t="s">
        <v>13</v>
      </c>
      <c r="F26" t="s">
        <v>16</v>
      </c>
      <c r="G26">
        <v>100</v>
      </c>
      <c r="I26">
        <v>3</v>
      </c>
      <c r="J26">
        <v>59</v>
      </c>
      <c r="K26">
        <v>15</v>
      </c>
      <c r="L26" s="3">
        <f>K26/J26</f>
        <v>0.25423728813559321</v>
      </c>
      <c r="M26" s="5"/>
    </row>
    <row r="27" spans="1:13" x14ac:dyDescent="0.2">
      <c r="A27" s="2">
        <v>43777</v>
      </c>
      <c r="B27" s="2">
        <v>43780</v>
      </c>
      <c r="C27">
        <v>796</v>
      </c>
      <c r="D27" t="s">
        <v>12</v>
      </c>
      <c r="E27" t="s">
        <v>13</v>
      </c>
      <c r="F27" t="s">
        <v>16</v>
      </c>
      <c r="G27">
        <v>100</v>
      </c>
      <c r="H27">
        <v>400</v>
      </c>
      <c r="I27">
        <v>3</v>
      </c>
      <c r="J27">
        <v>47</v>
      </c>
      <c r="K27">
        <v>6</v>
      </c>
      <c r="L27" s="3">
        <f t="shared" ref="L27:L28" si="9">K27/J27</f>
        <v>0.1276595744680851</v>
      </c>
      <c r="M27" s="6">
        <f>L27-L26</f>
        <v>-0.12657771366750811</v>
      </c>
    </row>
    <row r="28" spans="1:13" x14ac:dyDescent="0.2">
      <c r="A28" s="2">
        <v>43777</v>
      </c>
      <c r="B28" s="2">
        <v>43780</v>
      </c>
      <c r="C28">
        <v>796</v>
      </c>
      <c r="D28" t="s">
        <v>12</v>
      </c>
      <c r="E28" t="s">
        <v>13</v>
      </c>
      <c r="F28" t="s">
        <v>16</v>
      </c>
      <c r="G28">
        <v>100</v>
      </c>
      <c r="H28">
        <v>750</v>
      </c>
      <c r="I28">
        <v>3</v>
      </c>
      <c r="J28">
        <v>48</v>
      </c>
      <c r="K28">
        <v>24</v>
      </c>
      <c r="L28" s="3">
        <f t="shared" si="9"/>
        <v>0.5</v>
      </c>
      <c r="M28" s="6">
        <f>L28-L26</f>
        <v>0.24576271186440679</v>
      </c>
    </row>
    <row r="29" spans="1:13" x14ac:dyDescent="0.2">
      <c r="A29" s="2">
        <v>43777</v>
      </c>
      <c r="B29" s="2">
        <v>43780</v>
      </c>
      <c r="C29">
        <v>796</v>
      </c>
      <c r="D29" t="s">
        <v>12</v>
      </c>
      <c r="E29" t="s">
        <v>15</v>
      </c>
      <c r="F29" t="s">
        <v>16</v>
      </c>
      <c r="G29">
        <v>50</v>
      </c>
      <c r="I29">
        <v>3</v>
      </c>
      <c r="J29">
        <v>41</v>
      </c>
      <c r="K29">
        <v>41</v>
      </c>
      <c r="L29" s="3">
        <f>K29/J29</f>
        <v>1</v>
      </c>
      <c r="M29" s="5"/>
    </row>
    <row r="30" spans="1:13" x14ac:dyDescent="0.2">
      <c r="A30" s="2">
        <v>43777</v>
      </c>
      <c r="B30" s="2">
        <v>43780</v>
      </c>
      <c r="C30">
        <v>796</v>
      </c>
      <c r="D30" t="s">
        <v>12</v>
      </c>
      <c r="E30" t="s">
        <v>15</v>
      </c>
      <c r="F30" t="s">
        <v>16</v>
      </c>
      <c r="G30">
        <v>50</v>
      </c>
      <c r="H30">
        <v>400</v>
      </c>
      <c r="I30">
        <v>3</v>
      </c>
      <c r="J30">
        <v>58</v>
      </c>
      <c r="K30">
        <v>50</v>
      </c>
      <c r="L30" s="3">
        <f t="shared" ref="L30:L31" si="10">K30/J30</f>
        <v>0.86206896551724133</v>
      </c>
      <c r="M30" s="6">
        <f>L30-L29</f>
        <v>-0.13793103448275867</v>
      </c>
    </row>
    <row r="31" spans="1:13" x14ac:dyDescent="0.2">
      <c r="A31" s="2">
        <v>43777</v>
      </c>
      <c r="B31" s="2">
        <v>43780</v>
      </c>
      <c r="C31">
        <v>796</v>
      </c>
      <c r="D31" t="s">
        <v>12</v>
      </c>
      <c r="E31" t="s">
        <v>15</v>
      </c>
      <c r="F31" t="s">
        <v>16</v>
      </c>
      <c r="G31">
        <v>50</v>
      </c>
      <c r="H31">
        <v>750</v>
      </c>
      <c r="I31">
        <v>3</v>
      </c>
      <c r="J31">
        <v>45</v>
      </c>
      <c r="K31">
        <v>35</v>
      </c>
      <c r="L31" s="3">
        <f t="shared" si="10"/>
        <v>0.77777777777777779</v>
      </c>
      <c r="M31" s="6">
        <f>L31-L29</f>
        <v>-0.22222222222222221</v>
      </c>
    </row>
    <row r="32" spans="1:13" x14ac:dyDescent="0.2">
      <c r="A32" s="2">
        <v>43777</v>
      </c>
      <c r="B32" s="2">
        <v>43780</v>
      </c>
      <c r="C32">
        <v>796</v>
      </c>
      <c r="D32" t="s">
        <v>12</v>
      </c>
      <c r="E32" t="s">
        <v>15</v>
      </c>
      <c r="F32" t="s">
        <v>16</v>
      </c>
      <c r="G32">
        <v>75</v>
      </c>
      <c r="I32">
        <v>3</v>
      </c>
      <c r="J32">
        <v>32</v>
      </c>
      <c r="K32">
        <v>32</v>
      </c>
      <c r="L32" s="3">
        <f>K32/J32</f>
        <v>1</v>
      </c>
      <c r="M32" s="5"/>
    </row>
    <row r="33" spans="1:13" x14ac:dyDescent="0.2">
      <c r="A33" s="2">
        <v>43777</v>
      </c>
      <c r="B33" s="2">
        <v>43780</v>
      </c>
      <c r="C33">
        <v>796</v>
      </c>
      <c r="D33" t="s">
        <v>12</v>
      </c>
      <c r="E33" t="s">
        <v>15</v>
      </c>
      <c r="F33" t="s">
        <v>16</v>
      </c>
      <c r="G33">
        <v>75</v>
      </c>
      <c r="H33">
        <v>400</v>
      </c>
      <c r="I33">
        <v>3</v>
      </c>
      <c r="J33">
        <v>37</v>
      </c>
      <c r="K33">
        <v>37</v>
      </c>
      <c r="L33" s="3">
        <f t="shared" ref="L33:L34" si="11">K33/J33</f>
        <v>1</v>
      </c>
      <c r="M33" s="6">
        <f>L33-L32</f>
        <v>0</v>
      </c>
    </row>
    <row r="34" spans="1:13" x14ac:dyDescent="0.2">
      <c r="A34" s="2">
        <v>43777</v>
      </c>
      <c r="B34" s="2">
        <v>43780</v>
      </c>
      <c r="C34">
        <v>796</v>
      </c>
      <c r="D34" t="s">
        <v>12</v>
      </c>
      <c r="E34" t="s">
        <v>15</v>
      </c>
      <c r="F34" t="s">
        <v>16</v>
      </c>
      <c r="G34">
        <v>75</v>
      </c>
      <c r="H34">
        <v>750</v>
      </c>
      <c r="I34">
        <v>3</v>
      </c>
      <c r="J34">
        <v>51</v>
      </c>
      <c r="K34">
        <v>49</v>
      </c>
      <c r="L34" s="3">
        <f t="shared" si="11"/>
        <v>0.96078431372549022</v>
      </c>
      <c r="M34" s="6">
        <f>L34-L32</f>
        <v>-3.9215686274509776E-2</v>
      </c>
    </row>
    <row r="35" spans="1:13" x14ac:dyDescent="0.2">
      <c r="A35" s="2">
        <v>43777</v>
      </c>
      <c r="B35" s="2">
        <v>43780</v>
      </c>
      <c r="C35">
        <v>796</v>
      </c>
      <c r="D35" t="s">
        <v>12</v>
      </c>
      <c r="E35" t="s">
        <v>15</v>
      </c>
      <c r="F35" t="s">
        <v>16</v>
      </c>
      <c r="G35">
        <v>100</v>
      </c>
      <c r="I35">
        <v>3</v>
      </c>
      <c r="J35">
        <v>52</v>
      </c>
      <c r="K35">
        <v>52</v>
      </c>
      <c r="L35" s="3">
        <f>K35/J35</f>
        <v>1</v>
      </c>
      <c r="M35" s="5"/>
    </row>
    <row r="36" spans="1:13" x14ac:dyDescent="0.2">
      <c r="A36" s="2">
        <v>43777</v>
      </c>
      <c r="B36" s="2">
        <v>43780</v>
      </c>
      <c r="C36">
        <v>796</v>
      </c>
      <c r="D36" t="s">
        <v>12</v>
      </c>
      <c r="E36" t="s">
        <v>15</v>
      </c>
      <c r="F36" t="s">
        <v>16</v>
      </c>
      <c r="G36">
        <v>100</v>
      </c>
      <c r="H36">
        <v>400</v>
      </c>
      <c r="I36">
        <v>3</v>
      </c>
      <c r="J36">
        <v>40</v>
      </c>
      <c r="K36">
        <v>5</v>
      </c>
      <c r="L36" s="3">
        <f t="shared" ref="L36:L37" si="12">K36/J36</f>
        <v>0.125</v>
      </c>
      <c r="M36" s="6">
        <f>L36-L35</f>
        <v>-0.875</v>
      </c>
    </row>
    <row r="37" spans="1:13" x14ac:dyDescent="0.2">
      <c r="A37" s="2">
        <v>43777</v>
      </c>
      <c r="B37" s="2">
        <v>43780</v>
      </c>
      <c r="C37">
        <v>796</v>
      </c>
      <c r="D37" t="s">
        <v>12</v>
      </c>
      <c r="E37" t="s">
        <v>15</v>
      </c>
      <c r="F37" t="s">
        <v>16</v>
      </c>
      <c r="G37">
        <v>100</v>
      </c>
      <c r="H37">
        <v>750</v>
      </c>
      <c r="I37">
        <v>3</v>
      </c>
      <c r="J37">
        <v>43</v>
      </c>
      <c r="K37">
        <v>38</v>
      </c>
      <c r="L37" s="3">
        <f t="shared" si="12"/>
        <v>0.88372093023255816</v>
      </c>
      <c r="M37" s="6">
        <f>L37-L35</f>
        <v>-0.11627906976744184</v>
      </c>
    </row>
    <row r="41" spans="1:13" x14ac:dyDescent="0.2">
      <c r="A41" t="s">
        <v>17</v>
      </c>
    </row>
    <row r="43" spans="1:13" ht="119" x14ac:dyDescent="0.2">
      <c r="A43" s="10" t="s">
        <v>0</v>
      </c>
      <c r="B43" s="10" t="s">
        <v>1</v>
      </c>
      <c r="C43" s="10" t="s">
        <v>2</v>
      </c>
      <c r="D43" s="10" t="s">
        <v>3</v>
      </c>
      <c r="E43" s="10" t="s">
        <v>4</v>
      </c>
      <c r="F43" s="10"/>
      <c r="G43" s="10" t="s">
        <v>5</v>
      </c>
      <c r="H43" s="10" t="s">
        <v>6</v>
      </c>
      <c r="I43" s="10" t="s">
        <v>7</v>
      </c>
      <c r="J43" s="10" t="s">
        <v>8</v>
      </c>
      <c r="K43" s="10" t="s">
        <v>9</v>
      </c>
      <c r="L43" s="10" t="s">
        <v>10</v>
      </c>
    </row>
    <row r="44" spans="1:13" x14ac:dyDescent="0.2">
      <c r="A44" s="2">
        <v>43777</v>
      </c>
      <c r="B44" s="2">
        <v>43780</v>
      </c>
      <c r="C44">
        <v>796</v>
      </c>
      <c r="D44" t="s">
        <v>12</v>
      </c>
      <c r="E44" t="s">
        <v>13</v>
      </c>
      <c r="F44" t="s">
        <v>14</v>
      </c>
      <c r="G44">
        <v>50</v>
      </c>
      <c r="H44">
        <v>400</v>
      </c>
      <c r="I44">
        <v>3</v>
      </c>
      <c r="J44">
        <v>49</v>
      </c>
      <c r="K44">
        <v>0</v>
      </c>
      <c r="L44" s="3">
        <f t="shared" ref="L44:L79" si="13">K44/J44</f>
        <v>0</v>
      </c>
    </row>
    <row r="45" spans="1:13" x14ac:dyDescent="0.2">
      <c r="A45" s="2">
        <v>43777</v>
      </c>
      <c r="B45" s="2">
        <v>43780</v>
      </c>
      <c r="C45">
        <v>796</v>
      </c>
      <c r="D45" t="s">
        <v>12</v>
      </c>
      <c r="E45" t="s">
        <v>13</v>
      </c>
      <c r="F45" t="s">
        <v>14</v>
      </c>
      <c r="G45">
        <v>75</v>
      </c>
      <c r="H45">
        <v>400</v>
      </c>
      <c r="I45">
        <v>3</v>
      </c>
      <c r="J45">
        <v>49</v>
      </c>
      <c r="K45">
        <v>1</v>
      </c>
      <c r="L45" s="3">
        <f t="shared" si="13"/>
        <v>2.0408163265306121E-2</v>
      </c>
    </row>
    <row r="46" spans="1:13" x14ac:dyDescent="0.2">
      <c r="A46" s="2">
        <v>43777</v>
      </c>
      <c r="B46" s="2">
        <v>43780</v>
      </c>
      <c r="C46">
        <v>796</v>
      </c>
      <c r="D46" t="s">
        <v>12</v>
      </c>
      <c r="E46" t="s">
        <v>13</v>
      </c>
      <c r="F46" t="s">
        <v>14</v>
      </c>
      <c r="G46">
        <v>100</v>
      </c>
      <c r="H46">
        <v>400</v>
      </c>
      <c r="I46">
        <v>3</v>
      </c>
      <c r="J46">
        <v>42</v>
      </c>
      <c r="K46">
        <v>0</v>
      </c>
      <c r="L46" s="3">
        <f t="shared" si="13"/>
        <v>0</v>
      </c>
    </row>
    <row r="47" spans="1:13" x14ac:dyDescent="0.2">
      <c r="A47" s="2">
        <v>43777</v>
      </c>
      <c r="B47" s="2">
        <v>43780</v>
      </c>
      <c r="C47">
        <v>796</v>
      </c>
      <c r="D47" t="s">
        <v>12</v>
      </c>
      <c r="E47" t="s">
        <v>13</v>
      </c>
      <c r="F47" t="s">
        <v>16</v>
      </c>
      <c r="G47">
        <v>50</v>
      </c>
      <c r="H47">
        <v>400</v>
      </c>
      <c r="I47">
        <v>3</v>
      </c>
      <c r="J47">
        <v>39</v>
      </c>
      <c r="K47">
        <v>3</v>
      </c>
      <c r="L47" s="3">
        <f t="shared" si="13"/>
        <v>7.6923076923076927E-2</v>
      </c>
    </row>
    <row r="48" spans="1:13" x14ac:dyDescent="0.2">
      <c r="A48" s="2">
        <v>43777</v>
      </c>
      <c r="B48" s="2">
        <v>43780</v>
      </c>
      <c r="C48">
        <v>796</v>
      </c>
      <c r="D48" t="s">
        <v>12</v>
      </c>
      <c r="E48" t="s">
        <v>13</v>
      </c>
      <c r="F48" t="s">
        <v>16</v>
      </c>
      <c r="G48">
        <v>75</v>
      </c>
      <c r="H48">
        <v>400</v>
      </c>
      <c r="I48">
        <v>3</v>
      </c>
      <c r="J48">
        <v>42</v>
      </c>
      <c r="K48">
        <v>0</v>
      </c>
      <c r="L48" s="3">
        <f t="shared" si="13"/>
        <v>0</v>
      </c>
    </row>
    <row r="49" spans="1:12" x14ac:dyDescent="0.2">
      <c r="A49" s="2">
        <v>43777</v>
      </c>
      <c r="B49" s="2">
        <v>43780</v>
      </c>
      <c r="C49">
        <v>796</v>
      </c>
      <c r="D49" t="s">
        <v>12</v>
      </c>
      <c r="E49" t="s">
        <v>13</v>
      </c>
      <c r="F49" t="s">
        <v>16</v>
      </c>
      <c r="G49">
        <v>100</v>
      </c>
      <c r="H49">
        <v>400</v>
      </c>
      <c r="I49">
        <v>3</v>
      </c>
      <c r="J49">
        <v>47</v>
      </c>
      <c r="K49">
        <v>6</v>
      </c>
      <c r="L49" s="3">
        <f t="shared" si="13"/>
        <v>0.1276595744680851</v>
      </c>
    </row>
    <row r="50" spans="1:12" x14ac:dyDescent="0.2">
      <c r="A50" s="2">
        <v>43777</v>
      </c>
      <c r="B50" s="2">
        <v>43780</v>
      </c>
      <c r="C50">
        <v>796</v>
      </c>
      <c r="D50" t="s">
        <v>12</v>
      </c>
      <c r="E50" t="s">
        <v>13</v>
      </c>
      <c r="F50" t="s">
        <v>14</v>
      </c>
      <c r="G50">
        <v>50</v>
      </c>
      <c r="H50">
        <v>750</v>
      </c>
      <c r="I50">
        <v>3</v>
      </c>
      <c r="J50">
        <v>47</v>
      </c>
      <c r="K50">
        <v>8</v>
      </c>
      <c r="L50" s="3">
        <f t="shared" si="13"/>
        <v>0.1702127659574468</v>
      </c>
    </row>
    <row r="51" spans="1:12" x14ac:dyDescent="0.2">
      <c r="A51" s="2">
        <v>43777</v>
      </c>
      <c r="B51" s="2">
        <v>43780</v>
      </c>
      <c r="C51">
        <v>796</v>
      </c>
      <c r="D51" t="s">
        <v>12</v>
      </c>
      <c r="E51" t="s">
        <v>13</v>
      </c>
      <c r="F51" t="s">
        <v>14</v>
      </c>
      <c r="G51">
        <v>75</v>
      </c>
      <c r="H51">
        <v>750</v>
      </c>
      <c r="I51">
        <v>3</v>
      </c>
      <c r="J51">
        <v>40</v>
      </c>
      <c r="K51">
        <v>0</v>
      </c>
      <c r="L51" s="3">
        <f t="shared" si="13"/>
        <v>0</v>
      </c>
    </row>
    <row r="52" spans="1:12" x14ac:dyDescent="0.2">
      <c r="A52" s="2">
        <v>43777</v>
      </c>
      <c r="B52" s="2">
        <v>43780</v>
      </c>
      <c r="C52">
        <v>796</v>
      </c>
      <c r="D52" t="s">
        <v>12</v>
      </c>
      <c r="E52" t="s">
        <v>13</v>
      </c>
      <c r="F52" t="s">
        <v>14</v>
      </c>
      <c r="G52">
        <v>100</v>
      </c>
      <c r="H52">
        <v>750</v>
      </c>
      <c r="I52">
        <v>3</v>
      </c>
      <c r="J52">
        <v>50</v>
      </c>
      <c r="K52">
        <v>0</v>
      </c>
      <c r="L52" s="3">
        <f t="shared" si="13"/>
        <v>0</v>
      </c>
    </row>
    <row r="53" spans="1:12" x14ac:dyDescent="0.2">
      <c r="A53" s="2">
        <v>43777</v>
      </c>
      <c r="B53" s="2">
        <v>43780</v>
      </c>
      <c r="C53">
        <v>796</v>
      </c>
      <c r="D53" t="s">
        <v>12</v>
      </c>
      <c r="E53" t="s">
        <v>13</v>
      </c>
      <c r="F53" t="s">
        <v>16</v>
      </c>
      <c r="G53">
        <v>50</v>
      </c>
      <c r="H53">
        <v>750</v>
      </c>
      <c r="I53">
        <v>3</v>
      </c>
      <c r="J53">
        <v>44</v>
      </c>
      <c r="K53">
        <v>40</v>
      </c>
      <c r="L53" s="3">
        <f t="shared" si="13"/>
        <v>0.90909090909090906</v>
      </c>
    </row>
    <row r="54" spans="1:12" x14ac:dyDescent="0.2">
      <c r="A54" s="2">
        <v>43777</v>
      </c>
      <c r="B54" s="2">
        <v>43780</v>
      </c>
      <c r="C54">
        <v>796</v>
      </c>
      <c r="D54" t="s">
        <v>12</v>
      </c>
      <c r="E54" t="s">
        <v>13</v>
      </c>
      <c r="F54" t="s">
        <v>16</v>
      </c>
      <c r="G54">
        <v>75</v>
      </c>
      <c r="H54">
        <v>750</v>
      </c>
      <c r="I54">
        <v>3</v>
      </c>
      <c r="J54">
        <v>50</v>
      </c>
      <c r="K54">
        <v>6</v>
      </c>
      <c r="L54" s="3">
        <f t="shared" si="13"/>
        <v>0.12</v>
      </c>
    </row>
    <row r="55" spans="1:12" x14ac:dyDescent="0.2">
      <c r="A55" s="2">
        <v>43777</v>
      </c>
      <c r="B55" s="2">
        <v>43780</v>
      </c>
      <c r="C55">
        <v>796</v>
      </c>
      <c r="D55" t="s">
        <v>12</v>
      </c>
      <c r="E55" t="s">
        <v>13</v>
      </c>
      <c r="F55" t="s">
        <v>16</v>
      </c>
      <c r="G55">
        <v>100</v>
      </c>
      <c r="H55">
        <v>750</v>
      </c>
      <c r="I55">
        <v>3</v>
      </c>
      <c r="J55">
        <v>48</v>
      </c>
      <c r="K55">
        <v>24</v>
      </c>
      <c r="L55" s="3">
        <f t="shared" si="13"/>
        <v>0.5</v>
      </c>
    </row>
    <row r="56" spans="1:12" x14ac:dyDescent="0.2">
      <c r="A56" s="2">
        <v>43777</v>
      </c>
      <c r="B56" s="2">
        <v>43780</v>
      </c>
      <c r="C56">
        <v>796</v>
      </c>
      <c r="D56" t="s">
        <v>12</v>
      </c>
      <c r="E56" t="s">
        <v>13</v>
      </c>
      <c r="F56" t="s">
        <v>14</v>
      </c>
      <c r="G56">
        <v>50</v>
      </c>
      <c r="I56">
        <v>3</v>
      </c>
      <c r="J56">
        <v>40</v>
      </c>
      <c r="K56">
        <v>0</v>
      </c>
      <c r="L56" s="3">
        <f t="shared" si="13"/>
        <v>0</v>
      </c>
    </row>
    <row r="57" spans="1:12" x14ac:dyDescent="0.2">
      <c r="A57" s="2">
        <v>43777</v>
      </c>
      <c r="B57" s="2">
        <v>43780</v>
      </c>
      <c r="C57">
        <v>796</v>
      </c>
      <c r="D57" t="s">
        <v>12</v>
      </c>
      <c r="E57" t="s">
        <v>13</v>
      </c>
      <c r="F57" t="s">
        <v>14</v>
      </c>
      <c r="G57">
        <v>75</v>
      </c>
      <c r="I57">
        <v>3</v>
      </c>
      <c r="J57">
        <v>50</v>
      </c>
      <c r="K57">
        <v>0</v>
      </c>
      <c r="L57" s="3">
        <f t="shared" si="13"/>
        <v>0</v>
      </c>
    </row>
    <row r="58" spans="1:12" x14ac:dyDescent="0.2">
      <c r="A58" s="2">
        <v>43777</v>
      </c>
      <c r="B58" s="2">
        <v>43780</v>
      </c>
      <c r="C58">
        <v>796</v>
      </c>
      <c r="D58" t="s">
        <v>12</v>
      </c>
      <c r="E58" t="s">
        <v>13</v>
      </c>
      <c r="F58" t="s">
        <v>14</v>
      </c>
      <c r="G58">
        <v>100</v>
      </c>
      <c r="I58">
        <v>3</v>
      </c>
      <c r="J58">
        <v>51</v>
      </c>
      <c r="K58">
        <v>0</v>
      </c>
      <c r="L58" s="3">
        <f t="shared" si="13"/>
        <v>0</v>
      </c>
    </row>
    <row r="59" spans="1:12" x14ac:dyDescent="0.2">
      <c r="A59" s="2">
        <v>43777</v>
      </c>
      <c r="B59" s="2">
        <v>43780</v>
      </c>
      <c r="C59">
        <v>796</v>
      </c>
      <c r="D59" t="s">
        <v>12</v>
      </c>
      <c r="E59" t="s">
        <v>13</v>
      </c>
      <c r="F59" t="s">
        <v>16</v>
      </c>
      <c r="G59">
        <v>50</v>
      </c>
      <c r="I59">
        <v>3</v>
      </c>
      <c r="J59">
        <v>65</v>
      </c>
      <c r="K59">
        <v>59</v>
      </c>
      <c r="L59" s="3">
        <f t="shared" si="13"/>
        <v>0.90769230769230769</v>
      </c>
    </row>
    <row r="60" spans="1:12" x14ac:dyDescent="0.2">
      <c r="A60" s="2">
        <v>43777</v>
      </c>
      <c r="B60" s="2">
        <v>43780</v>
      </c>
      <c r="C60">
        <v>796</v>
      </c>
      <c r="D60" t="s">
        <v>12</v>
      </c>
      <c r="E60" t="s">
        <v>13</v>
      </c>
      <c r="F60" t="s">
        <v>16</v>
      </c>
      <c r="G60">
        <v>75</v>
      </c>
      <c r="I60">
        <v>3</v>
      </c>
      <c r="J60">
        <v>42</v>
      </c>
      <c r="K60">
        <v>21</v>
      </c>
      <c r="L60" s="3">
        <f t="shared" si="13"/>
        <v>0.5</v>
      </c>
    </row>
    <row r="61" spans="1:12" x14ac:dyDescent="0.2">
      <c r="A61" s="2">
        <v>43777</v>
      </c>
      <c r="B61" s="2">
        <v>43780</v>
      </c>
      <c r="C61">
        <v>796</v>
      </c>
      <c r="D61" t="s">
        <v>12</v>
      </c>
      <c r="E61" t="s">
        <v>13</v>
      </c>
      <c r="F61" t="s">
        <v>16</v>
      </c>
      <c r="G61">
        <v>100</v>
      </c>
      <c r="I61">
        <v>3</v>
      </c>
      <c r="J61">
        <v>59</v>
      </c>
      <c r="K61">
        <v>15</v>
      </c>
      <c r="L61" s="3">
        <f t="shared" si="13"/>
        <v>0.25423728813559321</v>
      </c>
    </row>
    <row r="62" spans="1:12" x14ac:dyDescent="0.2">
      <c r="A62" s="2">
        <v>43777</v>
      </c>
      <c r="B62" s="2">
        <v>43780</v>
      </c>
      <c r="C62">
        <v>796</v>
      </c>
      <c r="D62" t="s">
        <v>12</v>
      </c>
      <c r="E62" t="s">
        <v>15</v>
      </c>
      <c r="F62" t="s">
        <v>14</v>
      </c>
      <c r="G62">
        <v>50</v>
      </c>
      <c r="H62">
        <v>400</v>
      </c>
      <c r="I62">
        <v>3</v>
      </c>
      <c r="J62">
        <v>39</v>
      </c>
      <c r="K62">
        <v>0</v>
      </c>
      <c r="L62" s="3">
        <f t="shared" si="13"/>
        <v>0</v>
      </c>
    </row>
    <row r="63" spans="1:12" x14ac:dyDescent="0.2">
      <c r="A63" s="2">
        <v>43777</v>
      </c>
      <c r="B63" s="2">
        <v>43780</v>
      </c>
      <c r="C63">
        <v>796</v>
      </c>
      <c r="D63" t="s">
        <v>12</v>
      </c>
      <c r="E63" t="s">
        <v>15</v>
      </c>
      <c r="F63" t="s">
        <v>14</v>
      </c>
      <c r="G63">
        <v>75</v>
      </c>
      <c r="H63">
        <v>400</v>
      </c>
      <c r="I63">
        <v>3</v>
      </c>
      <c r="J63">
        <v>49</v>
      </c>
      <c r="K63">
        <v>49</v>
      </c>
      <c r="L63" s="3">
        <f t="shared" si="13"/>
        <v>1</v>
      </c>
    </row>
    <row r="64" spans="1:12" x14ac:dyDescent="0.2">
      <c r="A64" s="2">
        <v>43777</v>
      </c>
      <c r="B64" s="2">
        <v>43780</v>
      </c>
      <c r="C64">
        <v>796</v>
      </c>
      <c r="D64" t="s">
        <v>12</v>
      </c>
      <c r="E64" t="s">
        <v>15</v>
      </c>
      <c r="F64" t="s">
        <v>14</v>
      </c>
      <c r="G64">
        <v>100</v>
      </c>
      <c r="H64">
        <v>400</v>
      </c>
      <c r="I64">
        <v>3</v>
      </c>
      <c r="J64">
        <v>38</v>
      </c>
      <c r="K64">
        <v>0</v>
      </c>
      <c r="L64" s="3">
        <f t="shared" si="13"/>
        <v>0</v>
      </c>
    </row>
    <row r="65" spans="1:12" x14ac:dyDescent="0.2">
      <c r="A65" s="2">
        <v>43777</v>
      </c>
      <c r="B65" s="2">
        <v>43780</v>
      </c>
      <c r="C65">
        <v>796</v>
      </c>
      <c r="D65" t="s">
        <v>12</v>
      </c>
      <c r="E65" t="s">
        <v>15</v>
      </c>
      <c r="F65" t="s">
        <v>16</v>
      </c>
      <c r="G65">
        <v>50</v>
      </c>
      <c r="H65">
        <v>400</v>
      </c>
      <c r="I65">
        <v>3</v>
      </c>
      <c r="J65">
        <v>58</v>
      </c>
      <c r="K65">
        <v>50</v>
      </c>
      <c r="L65" s="3">
        <f t="shared" si="13"/>
        <v>0.86206896551724133</v>
      </c>
    </row>
    <row r="66" spans="1:12" x14ac:dyDescent="0.2">
      <c r="A66" s="2">
        <v>43777</v>
      </c>
      <c r="B66" s="2">
        <v>43780</v>
      </c>
      <c r="C66">
        <v>796</v>
      </c>
      <c r="D66" t="s">
        <v>12</v>
      </c>
      <c r="E66" t="s">
        <v>15</v>
      </c>
      <c r="F66" t="s">
        <v>16</v>
      </c>
      <c r="G66">
        <v>75</v>
      </c>
      <c r="H66">
        <v>400</v>
      </c>
      <c r="I66">
        <v>3</v>
      </c>
      <c r="J66">
        <v>37</v>
      </c>
      <c r="K66">
        <v>37</v>
      </c>
      <c r="L66" s="3">
        <f t="shared" si="13"/>
        <v>1</v>
      </c>
    </row>
    <row r="67" spans="1:12" x14ac:dyDescent="0.2">
      <c r="A67" s="2">
        <v>43777</v>
      </c>
      <c r="B67" s="2">
        <v>43780</v>
      </c>
      <c r="C67">
        <v>796</v>
      </c>
      <c r="D67" t="s">
        <v>12</v>
      </c>
      <c r="E67" t="s">
        <v>15</v>
      </c>
      <c r="F67" t="s">
        <v>16</v>
      </c>
      <c r="G67">
        <v>100</v>
      </c>
      <c r="H67">
        <v>400</v>
      </c>
      <c r="I67">
        <v>3</v>
      </c>
      <c r="J67">
        <v>40</v>
      </c>
      <c r="K67">
        <v>5</v>
      </c>
      <c r="L67" s="3">
        <f t="shared" si="13"/>
        <v>0.125</v>
      </c>
    </row>
    <row r="68" spans="1:12" x14ac:dyDescent="0.2">
      <c r="A68" s="2">
        <v>43777</v>
      </c>
      <c r="B68" s="2">
        <v>43780</v>
      </c>
      <c r="C68">
        <v>796</v>
      </c>
      <c r="D68" t="s">
        <v>12</v>
      </c>
      <c r="E68" t="s">
        <v>15</v>
      </c>
      <c r="F68" t="s">
        <v>14</v>
      </c>
      <c r="G68">
        <v>50</v>
      </c>
      <c r="H68">
        <v>750</v>
      </c>
      <c r="I68">
        <v>3</v>
      </c>
      <c r="J68">
        <v>50</v>
      </c>
      <c r="K68">
        <v>30</v>
      </c>
      <c r="L68" s="3">
        <f t="shared" si="13"/>
        <v>0.6</v>
      </c>
    </row>
    <row r="69" spans="1:12" x14ac:dyDescent="0.2">
      <c r="A69" s="2">
        <v>43777</v>
      </c>
      <c r="B69" s="2">
        <v>43780</v>
      </c>
      <c r="C69">
        <v>796</v>
      </c>
      <c r="D69" t="s">
        <v>12</v>
      </c>
      <c r="E69" t="s">
        <v>15</v>
      </c>
      <c r="F69" t="s">
        <v>14</v>
      </c>
      <c r="G69">
        <v>75</v>
      </c>
      <c r="H69">
        <v>750</v>
      </c>
      <c r="I69">
        <v>3</v>
      </c>
      <c r="J69">
        <v>40</v>
      </c>
      <c r="K69">
        <v>20</v>
      </c>
      <c r="L69" s="3">
        <f t="shared" si="13"/>
        <v>0.5</v>
      </c>
    </row>
    <row r="70" spans="1:12" x14ac:dyDescent="0.2">
      <c r="A70" s="2">
        <v>43777</v>
      </c>
      <c r="B70" s="2">
        <v>43780</v>
      </c>
      <c r="C70">
        <v>796</v>
      </c>
      <c r="D70" t="s">
        <v>12</v>
      </c>
      <c r="E70" t="s">
        <v>15</v>
      </c>
      <c r="F70" t="s">
        <v>14</v>
      </c>
      <c r="G70">
        <v>100</v>
      </c>
      <c r="H70">
        <v>750</v>
      </c>
      <c r="I70">
        <v>3</v>
      </c>
      <c r="J70">
        <v>43</v>
      </c>
      <c r="K70">
        <v>1</v>
      </c>
      <c r="L70" s="3">
        <f t="shared" si="13"/>
        <v>2.3255813953488372E-2</v>
      </c>
    </row>
    <row r="71" spans="1:12" x14ac:dyDescent="0.2">
      <c r="A71" s="2">
        <v>43777</v>
      </c>
      <c r="B71" s="2">
        <v>43780</v>
      </c>
      <c r="C71">
        <v>796</v>
      </c>
      <c r="D71" t="s">
        <v>12</v>
      </c>
      <c r="E71" t="s">
        <v>15</v>
      </c>
      <c r="F71" t="s">
        <v>16</v>
      </c>
      <c r="G71">
        <v>50</v>
      </c>
      <c r="H71">
        <v>750</v>
      </c>
      <c r="I71">
        <v>3</v>
      </c>
      <c r="J71">
        <v>45</v>
      </c>
      <c r="K71">
        <v>35</v>
      </c>
      <c r="L71" s="3">
        <f t="shared" si="13"/>
        <v>0.77777777777777779</v>
      </c>
    </row>
    <row r="72" spans="1:12" x14ac:dyDescent="0.2">
      <c r="A72" s="2">
        <v>43777</v>
      </c>
      <c r="B72" s="2">
        <v>43780</v>
      </c>
      <c r="C72">
        <v>796</v>
      </c>
      <c r="D72" t="s">
        <v>12</v>
      </c>
      <c r="E72" t="s">
        <v>15</v>
      </c>
      <c r="F72" t="s">
        <v>16</v>
      </c>
      <c r="G72">
        <v>75</v>
      </c>
      <c r="H72">
        <v>750</v>
      </c>
      <c r="I72">
        <v>3</v>
      </c>
      <c r="J72">
        <v>51</v>
      </c>
      <c r="K72">
        <v>49</v>
      </c>
      <c r="L72" s="3">
        <f t="shared" si="13"/>
        <v>0.96078431372549022</v>
      </c>
    </row>
    <row r="73" spans="1:12" x14ac:dyDescent="0.2">
      <c r="A73" s="2">
        <v>43777</v>
      </c>
      <c r="B73" s="2">
        <v>43780</v>
      </c>
      <c r="C73">
        <v>796</v>
      </c>
      <c r="D73" t="s">
        <v>12</v>
      </c>
      <c r="E73" t="s">
        <v>15</v>
      </c>
      <c r="F73" t="s">
        <v>16</v>
      </c>
      <c r="G73">
        <v>100</v>
      </c>
      <c r="H73">
        <v>750</v>
      </c>
      <c r="I73">
        <v>3</v>
      </c>
      <c r="J73">
        <v>43</v>
      </c>
      <c r="K73">
        <v>38</v>
      </c>
      <c r="L73" s="3">
        <f t="shared" si="13"/>
        <v>0.88372093023255816</v>
      </c>
    </row>
    <row r="74" spans="1:12" x14ac:dyDescent="0.2">
      <c r="A74" s="2">
        <v>43777</v>
      </c>
      <c r="B74" s="2">
        <v>43780</v>
      </c>
      <c r="C74">
        <v>796</v>
      </c>
      <c r="D74" t="s">
        <v>12</v>
      </c>
      <c r="E74" t="s">
        <v>15</v>
      </c>
      <c r="F74" t="s">
        <v>14</v>
      </c>
      <c r="G74">
        <v>50</v>
      </c>
      <c r="I74">
        <v>3</v>
      </c>
      <c r="J74">
        <v>48</v>
      </c>
      <c r="K74">
        <v>0</v>
      </c>
      <c r="L74" s="3">
        <f t="shared" si="13"/>
        <v>0</v>
      </c>
    </row>
    <row r="75" spans="1:12" x14ac:dyDescent="0.2">
      <c r="A75" s="2">
        <v>43777</v>
      </c>
      <c r="B75" s="2">
        <v>43780</v>
      </c>
      <c r="C75">
        <v>796</v>
      </c>
      <c r="D75" t="s">
        <v>12</v>
      </c>
      <c r="E75" t="s">
        <v>15</v>
      </c>
      <c r="F75" t="s">
        <v>14</v>
      </c>
      <c r="G75">
        <v>75</v>
      </c>
      <c r="I75">
        <v>3</v>
      </c>
      <c r="J75">
        <v>49</v>
      </c>
      <c r="K75">
        <v>5</v>
      </c>
      <c r="L75" s="3">
        <f t="shared" si="13"/>
        <v>0.10204081632653061</v>
      </c>
    </row>
    <row r="76" spans="1:12" x14ac:dyDescent="0.2">
      <c r="A76" s="2">
        <v>43777</v>
      </c>
      <c r="B76" s="2">
        <v>43780</v>
      </c>
      <c r="C76">
        <v>796</v>
      </c>
      <c r="D76" t="s">
        <v>12</v>
      </c>
      <c r="E76" t="s">
        <v>15</v>
      </c>
      <c r="F76" t="s">
        <v>14</v>
      </c>
      <c r="G76">
        <v>100</v>
      </c>
      <c r="I76">
        <v>3</v>
      </c>
      <c r="J76">
        <v>39</v>
      </c>
      <c r="K76">
        <v>0</v>
      </c>
      <c r="L76" s="3">
        <f t="shared" si="13"/>
        <v>0</v>
      </c>
    </row>
    <row r="77" spans="1:12" x14ac:dyDescent="0.2">
      <c r="A77" s="2">
        <v>43777</v>
      </c>
      <c r="B77" s="2">
        <v>43780</v>
      </c>
      <c r="C77">
        <v>796</v>
      </c>
      <c r="D77" t="s">
        <v>12</v>
      </c>
      <c r="E77" t="s">
        <v>15</v>
      </c>
      <c r="F77" t="s">
        <v>16</v>
      </c>
      <c r="G77">
        <v>50</v>
      </c>
      <c r="I77">
        <v>3</v>
      </c>
      <c r="J77">
        <v>41</v>
      </c>
      <c r="K77">
        <v>41</v>
      </c>
      <c r="L77" s="3">
        <f t="shared" si="13"/>
        <v>1</v>
      </c>
    </row>
    <row r="78" spans="1:12" x14ac:dyDescent="0.2">
      <c r="A78" s="2">
        <v>43777</v>
      </c>
      <c r="B78" s="2">
        <v>43780</v>
      </c>
      <c r="C78">
        <v>796</v>
      </c>
      <c r="D78" t="s">
        <v>12</v>
      </c>
      <c r="E78" t="s">
        <v>15</v>
      </c>
      <c r="F78" t="s">
        <v>16</v>
      </c>
      <c r="G78">
        <v>75</v>
      </c>
      <c r="I78">
        <v>3</v>
      </c>
      <c r="J78">
        <v>32</v>
      </c>
      <c r="K78">
        <v>32</v>
      </c>
      <c r="L78" s="3">
        <f t="shared" si="13"/>
        <v>1</v>
      </c>
    </row>
    <row r="79" spans="1:12" x14ac:dyDescent="0.2">
      <c r="A79" s="2">
        <v>43777</v>
      </c>
      <c r="B79" s="2">
        <v>43780</v>
      </c>
      <c r="C79">
        <v>796</v>
      </c>
      <c r="D79" t="s">
        <v>12</v>
      </c>
      <c r="E79" t="s">
        <v>15</v>
      </c>
      <c r="F79" t="s">
        <v>16</v>
      </c>
      <c r="G79">
        <v>100</v>
      </c>
      <c r="I79">
        <v>3</v>
      </c>
      <c r="J79">
        <v>52</v>
      </c>
      <c r="K79">
        <v>52</v>
      </c>
      <c r="L79" s="3">
        <f t="shared" si="13"/>
        <v>1</v>
      </c>
    </row>
  </sheetData>
  <sortState xmlns:xlrd2="http://schemas.microsoft.com/office/spreadsheetml/2017/richdata2" ref="A44:L79">
    <sortCondition ref="E44:E79"/>
    <sortCondition ref="H44:H79"/>
    <sortCondition ref="F44:F79"/>
    <sortCondition ref="G44:G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B0C3-94E8-3345-8749-647CF3DCA265}">
  <dimension ref="B3:B4"/>
  <sheetViews>
    <sheetView workbookViewId="0">
      <selection activeCell="A5" sqref="A5"/>
    </sheetView>
  </sheetViews>
  <sheetFormatPr baseColWidth="10" defaultColWidth="11" defaultRowHeight="16" x14ac:dyDescent="0.2"/>
  <sheetData>
    <row r="3" spans="2:2" x14ac:dyDescent="0.2">
      <c r="B3" t="s">
        <v>18</v>
      </c>
    </row>
    <row r="4" spans="2:2" x14ac:dyDescent="0.2">
      <c r="B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062A-A87D-6A42-84FB-B2CD3101E07B}">
  <dimension ref="A1:M80"/>
  <sheetViews>
    <sheetView topLeftCell="A19" workbookViewId="0">
      <selection activeCell="F1" sqref="F1"/>
    </sheetView>
  </sheetViews>
  <sheetFormatPr baseColWidth="10" defaultColWidth="11" defaultRowHeight="16" x14ac:dyDescent="0.2"/>
  <cols>
    <col min="5" max="6" width="16.83203125" customWidth="1"/>
  </cols>
  <sheetData>
    <row r="1" spans="1:13" ht="119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117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1" t="s">
        <v>11</v>
      </c>
    </row>
    <row r="2" spans="1:13" x14ac:dyDescent="0.2">
      <c r="A2" s="2">
        <v>43777</v>
      </c>
      <c r="B2" s="2">
        <v>43780</v>
      </c>
      <c r="C2">
        <v>796</v>
      </c>
      <c r="D2" t="s">
        <v>12</v>
      </c>
      <c r="E2" t="s">
        <v>13</v>
      </c>
      <c r="F2" t="s">
        <v>21</v>
      </c>
      <c r="G2">
        <v>50</v>
      </c>
      <c r="I2">
        <v>6</v>
      </c>
      <c r="J2">
        <v>37</v>
      </c>
      <c r="K2">
        <v>0</v>
      </c>
      <c r="L2" s="3">
        <f>K2/J2</f>
        <v>0</v>
      </c>
      <c r="M2" s="5"/>
    </row>
    <row r="3" spans="1:13" x14ac:dyDescent="0.2">
      <c r="A3" s="2">
        <v>43777</v>
      </c>
      <c r="B3" s="2">
        <v>43780</v>
      </c>
      <c r="C3">
        <v>796</v>
      </c>
      <c r="D3" t="s">
        <v>12</v>
      </c>
      <c r="E3" t="s">
        <v>13</v>
      </c>
      <c r="F3" t="s">
        <v>21</v>
      </c>
      <c r="G3">
        <v>50</v>
      </c>
      <c r="H3">
        <v>400</v>
      </c>
      <c r="I3">
        <v>6</v>
      </c>
      <c r="J3">
        <v>49</v>
      </c>
      <c r="K3">
        <v>49</v>
      </c>
      <c r="L3" s="3">
        <f t="shared" ref="L3:L4" si="0">K3/J3</f>
        <v>1</v>
      </c>
      <c r="M3" s="6">
        <f>L3-L2</f>
        <v>1</v>
      </c>
    </row>
    <row r="4" spans="1:13" x14ac:dyDescent="0.2">
      <c r="A4" s="2">
        <v>43777</v>
      </c>
      <c r="B4" s="2">
        <v>43780</v>
      </c>
      <c r="C4">
        <v>796</v>
      </c>
      <c r="D4" t="s">
        <v>12</v>
      </c>
      <c r="E4" t="s">
        <v>13</v>
      </c>
      <c r="F4" t="s">
        <v>21</v>
      </c>
      <c r="G4">
        <v>50</v>
      </c>
      <c r="H4">
        <v>750</v>
      </c>
      <c r="I4">
        <v>6</v>
      </c>
      <c r="J4">
        <v>55</v>
      </c>
      <c r="K4">
        <v>55</v>
      </c>
      <c r="L4" s="3">
        <f t="shared" si="0"/>
        <v>1</v>
      </c>
      <c r="M4" s="6">
        <f>L4-L2</f>
        <v>1</v>
      </c>
    </row>
    <row r="5" spans="1:13" x14ac:dyDescent="0.2">
      <c r="A5" s="2">
        <v>43777</v>
      </c>
      <c r="B5" s="2">
        <v>43780</v>
      </c>
      <c r="C5">
        <v>796</v>
      </c>
      <c r="D5" t="s">
        <v>12</v>
      </c>
      <c r="E5" t="s">
        <v>13</v>
      </c>
      <c r="F5" t="s">
        <v>21</v>
      </c>
      <c r="G5">
        <v>75</v>
      </c>
      <c r="I5">
        <v>6</v>
      </c>
      <c r="J5">
        <v>32</v>
      </c>
      <c r="K5">
        <v>0</v>
      </c>
      <c r="L5" s="3">
        <f>K5/J5</f>
        <v>0</v>
      </c>
      <c r="M5" s="5"/>
    </row>
    <row r="6" spans="1:13" x14ac:dyDescent="0.2">
      <c r="A6" s="2">
        <v>43777</v>
      </c>
      <c r="B6" s="2">
        <v>43780</v>
      </c>
      <c r="C6">
        <v>796</v>
      </c>
      <c r="D6" t="s">
        <v>12</v>
      </c>
      <c r="E6" t="s">
        <v>13</v>
      </c>
      <c r="F6" t="s">
        <v>21</v>
      </c>
      <c r="G6">
        <v>75</v>
      </c>
      <c r="H6">
        <v>400</v>
      </c>
      <c r="I6">
        <v>6</v>
      </c>
      <c r="J6">
        <v>46</v>
      </c>
      <c r="K6">
        <v>0</v>
      </c>
      <c r="L6" s="3">
        <f t="shared" ref="L6:L7" si="1">K6/J6</f>
        <v>0</v>
      </c>
      <c r="M6" s="6">
        <f>L6-L5</f>
        <v>0</v>
      </c>
    </row>
    <row r="7" spans="1:13" x14ac:dyDescent="0.2">
      <c r="A7" s="2">
        <v>43777</v>
      </c>
      <c r="B7" s="2">
        <v>43780</v>
      </c>
      <c r="C7">
        <v>796</v>
      </c>
      <c r="D7" t="s">
        <v>12</v>
      </c>
      <c r="E7" t="s">
        <v>13</v>
      </c>
      <c r="F7" t="s">
        <v>21</v>
      </c>
      <c r="G7">
        <v>75</v>
      </c>
      <c r="H7">
        <v>750</v>
      </c>
      <c r="I7">
        <v>6</v>
      </c>
      <c r="J7">
        <v>50</v>
      </c>
      <c r="K7">
        <v>8</v>
      </c>
      <c r="L7" s="3">
        <f t="shared" si="1"/>
        <v>0.16</v>
      </c>
      <c r="M7" s="6">
        <f>L7-L5</f>
        <v>0.16</v>
      </c>
    </row>
    <row r="8" spans="1:13" x14ac:dyDescent="0.2">
      <c r="A8" s="2">
        <v>43777</v>
      </c>
      <c r="B8" s="2">
        <v>43780</v>
      </c>
      <c r="C8">
        <v>796</v>
      </c>
      <c r="D8" t="s">
        <v>12</v>
      </c>
      <c r="E8" t="s">
        <v>13</v>
      </c>
      <c r="F8" t="s">
        <v>21</v>
      </c>
      <c r="G8">
        <v>100</v>
      </c>
      <c r="I8">
        <v>6</v>
      </c>
      <c r="J8">
        <v>45</v>
      </c>
      <c r="K8">
        <v>0</v>
      </c>
      <c r="L8" s="3">
        <f>K8/J8</f>
        <v>0</v>
      </c>
      <c r="M8" s="5"/>
    </row>
    <row r="9" spans="1:13" x14ac:dyDescent="0.2">
      <c r="A9" s="2">
        <v>43777</v>
      </c>
      <c r="B9" s="2">
        <v>43780</v>
      </c>
      <c r="C9">
        <v>796</v>
      </c>
      <c r="D9" t="s">
        <v>12</v>
      </c>
      <c r="E9" t="s">
        <v>13</v>
      </c>
      <c r="F9" t="s">
        <v>21</v>
      </c>
      <c r="G9">
        <v>100</v>
      </c>
      <c r="H9">
        <v>400</v>
      </c>
      <c r="I9">
        <v>6</v>
      </c>
      <c r="J9">
        <v>40</v>
      </c>
      <c r="K9">
        <v>3</v>
      </c>
      <c r="L9" s="3">
        <f t="shared" ref="L9:L10" si="2">K9/J9</f>
        <v>7.4999999999999997E-2</v>
      </c>
      <c r="M9" s="6">
        <f>L9-L8</f>
        <v>7.4999999999999997E-2</v>
      </c>
    </row>
    <row r="10" spans="1:13" x14ac:dyDescent="0.2">
      <c r="A10" s="2">
        <v>43777</v>
      </c>
      <c r="B10" s="2">
        <v>43780</v>
      </c>
      <c r="C10">
        <v>796</v>
      </c>
      <c r="D10" t="s">
        <v>12</v>
      </c>
      <c r="E10" t="s">
        <v>13</v>
      </c>
      <c r="F10" t="s">
        <v>21</v>
      </c>
      <c r="G10">
        <v>100</v>
      </c>
      <c r="H10">
        <v>750</v>
      </c>
      <c r="I10">
        <v>6</v>
      </c>
      <c r="J10">
        <v>45</v>
      </c>
      <c r="K10">
        <v>6</v>
      </c>
      <c r="L10" s="3">
        <f t="shared" si="2"/>
        <v>0.13333333333333333</v>
      </c>
      <c r="M10" s="6">
        <f>L10-L8</f>
        <v>0.13333333333333333</v>
      </c>
    </row>
    <row r="11" spans="1:13" x14ac:dyDescent="0.2">
      <c r="A11" s="2">
        <v>43777</v>
      </c>
      <c r="B11" s="2">
        <v>43780</v>
      </c>
      <c r="C11">
        <v>796</v>
      </c>
      <c r="D11" t="s">
        <v>12</v>
      </c>
      <c r="E11" t="s">
        <v>15</v>
      </c>
      <c r="F11" t="s">
        <v>21</v>
      </c>
      <c r="G11">
        <v>50</v>
      </c>
      <c r="I11">
        <v>6</v>
      </c>
      <c r="J11">
        <v>57</v>
      </c>
      <c r="K11">
        <v>0</v>
      </c>
      <c r="L11" s="3">
        <f>K11/J11</f>
        <v>0</v>
      </c>
      <c r="M11" s="5"/>
    </row>
    <row r="12" spans="1:13" x14ac:dyDescent="0.2">
      <c r="A12" s="2">
        <v>43777</v>
      </c>
      <c r="B12" s="2">
        <v>43780</v>
      </c>
      <c r="C12">
        <v>796</v>
      </c>
      <c r="D12" t="s">
        <v>12</v>
      </c>
      <c r="E12" t="s">
        <v>15</v>
      </c>
      <c r="F12" t="s">
        <v>21</v>
      </c>
      <c r="G12">
        <v>50</v>
      </c>
      <c r="H12">
        <v>400</v>
      </c>
      <c r="I12">
        <v>6</v>
      </c>
      <c r="J12">
        <v>43</v>
      </c>
      <c r="K12">
        <v>41</v>
      </c>
      <c r="L12" s="3">
        <f t="shared" ref="L12:L13" si="3">K12/J12</f>
        <v>0.95348837209302328</v>
      </c>
      <c r="M12" s="6">
        <f>L12-L11</f>
        <v>0.95348837209302328</v>
      </c>
    </row>
    <row r="13" spans="1:13" x14ac:dyDescent="0.2">
      <c r="A13" s="2">
        <v>43777</v>
      </c>
      <c r="B13" s="2">
        <v>43780</v>
      </c>
      <c r="C13">
        <v>796</v>
      </c>
      <c r="D13" t="s">
        <v>12</v>
      </c>
      <c r="E13" t="s">
        <v>15</v>
      </c>
      <c r="F13" t="s">
        <v>21</v>
      </c>
      <c r="G13">
        <v>50</v>
      </c>
      <c r="H13">
        <v>750</v>
      </c>
      <c r="I13">
        <v>6</v>
      </c>
      <c r="J13">
        <v>38</v>
      </c>
      <c r="K13">
        <v>38</v>
      </c>
      <c r="L13" s="3">
        <f t="shared" si="3"/>
        <v>1</v>
      </c>
      <c r="M13" s="6">
        <f>L13-L11</f>
        <v>1</v>
      </c>
    </row>
    <row r="14" spans="1:13" x14ac:dyDescent="0.2">
      <c r="A14" s="2">
        <v>43777</v>
      </c>
      <c r="B14" s="2">
        <v>43780</v>
      </c>
      <c r="C14">
        <v>796</v>
      </c>
      <c r="D14" t="s">
        <v>12</v>
      </c>
      <c r="E14" t="s">
        <v>15</v>
      </c>
      <c r="F14" t="s">
        <v>21</v>
      </c>
      <c r="G14">
        <v>75</v>
      </c>
      <c r="I14">
        <v>6</v>
      </c>
      <c r="J14">
        <v>50</v>
      </c>
      <c r="K14">
        <v>50</v>
      </c>
      <c r="L14" s="3">
        <f>K14/J14</f>
        <v>1</v>
      </c>
      <c r="M14" s="5"/>
    </row>
    <row r="15" spans="1:13" x14ac:dyDescent="0.2">
      <c r="A15" s="2">
        <v>43777</v>
      </c>
      <c r="B15" s="2">
        <v>43780</v>
      </c>
      <c r="C15">
        <v>796</v>
      </c>
      <c r="D15" t="s">
        <v>12</v>
      </c>
      <c r="E15" t="s">
        <v>15</v>
      </c>
      <c r="F15" t="s">
        <v>21</v>
      </c>
      <c r="G15">
        <v>75</v>
      </c>
      <c r="H15">
        <v>400</v>
      </c>
      <c r="I15">
        <v>6</v>
      </c>
      <c r="J15">
        <v>29</v>
      </c>
      <c r="K15">
        <v>29</v>
      </c>
      <c r="L15" s="3">
        <f t="shared" ref="L15:L16" si="4">K15/J15</f>
        <v>1</v>
      </c>
      <c r="M15" s="6">
        <f>L15-L14</f>
        <v>0</v>
      </c>
    </row>
    <row r="16" spans="1:13" x14ac:dyDescent="0.2">
      <c r="A16" s="2">
        <v>43777</v>
      </c>
      <c r="B16" s="2">
        <v>43780</v>
      </c>
      <c r="C16">
        <v>796</v>
      </c>
      <c r="D16" t="s">
        <v>12</v>
      </c>
      <c r="E16" t="s">
        <v>15</v>
      </c>
      <c r="F16" t="s">
        <v>21</v>
      </c>
      <c r="G16">
        <v>75</v>
      </c>
      <c r="H16">
        <v>750</v>
      </c>
      <c r="I16">
        <v>6</v>
      </c>
      <c r="J16">
        <v>58</v>
      </c>
      <c r="K16">
        <v>58</v>
      </c>
      <c r="L16" s="3">
        <f t="shared" si="4"/>
        <v>1</v>
      </c>
      <c r="M16" s="6">
        <f>L16-L14</f>
        <v>0</v>
      </c>
    </row>
    <row r="17" spans="1:13" x14ac:dyDescent="0.2">
      <c r="A17" s="2">
        <v>43777</v>
      </c>
      <c r="B17" s="2">
        <v>43780</v>
      </c>
      <c r="C17">
        <v>796</v>
      </c>
      <c r="D17" t="s">
        <v>12</v>
      </c>
      <c r="E17" t="s">
        <v>15</v>
      </c>
      <c r="F17" t="s">
        <v>21</v>
      </c>
      <c r="G17">
        <v>100</v>
      </c>
      <c r="I17">
        <v>6</v>
      </c>
      <c r="J17">
        <v>36</v>
      </c>
      <c r="K17">
        <v>33</v>
      </c>
      <c r="L17" s="3">
        <f>K17/J17</f>
        <v>0.91666666666666663</v>
      </c>
      <c r="M17" s="5"/>
    </row>
    <row r="18" spans="1:13" x14ac:dyDescent="0.2">
      <c r="A18" s="2">
        <v>43777</v>
      </c>
      <c r="B18" s="2">
        <v>43780</v>
      </c>
      <c r="C18">
        <v>796</v>
      </c>
      <c r="D18" t="s">
        <v>12</v>
      </c>
      <c r="E18" t="s">
        <v>15</v>
      </c>
      <c r="F18" t="s">
        <v>21</v>
      </c>
      <c r="G18">
        <v>100</v>
      </c>
      <c r="H18">
        <v>400</v>
      </c>
      <c r="I18">
        <v>6</v>
      </c>
      <c r="J18">
        <v>49</v>
      </c>
      <c r="K18">
        <v>49</v>
      </c>
      <c r="L18" s="3">
        <f t="shared" ref="L18:L19" si="5">K18/J18</f>
        <v>1</v>
      </c>
      <c r="M18" s="6">
        <f>L18-L17</f>
        <v>8.333333333333337E-2</v>
      </c>
    </row>
    <row r="19" spans="1:13" x14ac:dyDescent="0.2">
      <c r="A19" s="2">
        <v>43777</v>
      </c>
      <c r="B19" s="2">
        <v>43780</v>
      </c>
      <c r="C19">
        <v>796</v>
      </c>
      <c r="D19" t="s">
        <v>12</v>
      </c>
      <c r="E19" t="s">
        <v>15</v>
      </c>
      <c r="F19" t="s">
        <v>21</v>
      </c>
      <c r="G19">
        <v>100</v>
      </c>
      <c r="H19">
        <v>750</v>
      </c>
      <c r="I19">
        <v>6</v>
      </c>
      <c r="J19">
        <v>48</v>
      </c>
      <c r="K19">
        <v>48</v>
      </c>
      <c r="L19" s="3">
        <f t="shared" si="5"/>
        <v>1</v>
      </c>
      <c r="M19" s="6">
        <f>L19-L17</f>
        <v>8.333333333333337E-2</v>
      </c>
    </row>
    <row r="20" spans="1:13" x14ac:dyDescent="0.2">
      <c r="A20" s="2">
        <v>43777</v>
      </c>
      <c r="B20" s="2">
        <v>43780</v>
      </c>
      <c r="C20">
        <v>796</v>
      </c>
      <c r="D20" t="s">
        <v>12</v>
      </c>
      <c r="E20" t="s">
        <v>13</v>
      </c>
      <c r="F20" t="s">
        <v>22</v>
      </c>
      <c r="G20">
        <v>50</v>
      </c>
      <c r="I20">
        <v>6</v>
      </c>
      <c r="J20">
        <v>42</v>
      </c>
      <c r="K20">
        <v>42</v>
      </c>
      <c r="L20" s="3">
        <f>K20/J20</f>
        <v>1</v>
      </c>
      <c r="M20" s="5"/>
    </row>
    <row r="21" spans="1:13" x14ac:dyDescent="0.2">
      <c r="A21" s="2">
        <v>43777</v>
      </c>
      <c r="B21" s="2">
        <v>43780</v>
      </c>
      <c r="C21">
        <v>796</v>
      </c>
      <c r="D21" t="s">
        <v>12</v>
      </c>
      <c r="E21" t="s">
        <v>13</v>
      </c>
      <c r="F21" t="s">
        <v>22</v>
      </c>
      <c r="G21">
        <v>50</v>
      </c>
      <c r="H21">
        <v>400</v>
      </c>
      <c r="I21">
        <v>6</v>
      </c>
      <c r="J21">
        <v>48</v>
      </c>
      <c r="K21">
        <v>48</v>
      </c>
      <c r="L21" s="3">
        <f t="shared" ref="L21:L22" si="6">K21/J21</f>
        <v>1</v>
      </c>
      <c r="M21" s="6">
        <f>L21-L20</f>
        <v>0</v>
      </c>
    </row>
    <row r="22" spans="1:13" x14ac:dyDescent="0.2">
      <c r="A22" s="2">
        <v>43777</v>
      </c>
      <c r="B22" s="2">
        <v>43780</v>
      </c>
      <c r="C22">
        <v>796</v>
      </c>
      <c r="D22" t="s">
        <v>12</v>
      </c>
      <c r="E22" t="s">
        <v>13</v>
      </c>
      <c r="F22" t="s">
        <v>22</v>
      </c>
      <c r="G22">
        <v>50</v>
      </c>
      <c r="H22">
        <v>750</v>
      </c>
      <c r="I22">
        <v>6</v>
      </c>
      <c r="J22">
        <v>36</v>
      </c>
      <c r="K22">
        <v>36</v>
      </c>
      <c r="L22" s="3">
        <f t="shared" si="6"/>
        <v>1</v>
      </c>
      <c r="M22" s="6">
        <f>L22-L20</f>
        <v>0</v>
      </c>
    </row>
    <row r="23" spans="1:13" x14ac:dyDescent="0.2">
      <c r="A23" s="2">
        <v>43777</v>
      </c>
      <c r="B23" s="2">
        <v>43780</v>
      </c>
      <c r="C23">
        <v>796</v>
      </c>
      <c r="D23" t="s">
        <v>12</v>
      </c>
      <c r="E23" t="s">
        <v>13</v>
      </c>
      <c r="F23" t="s">
        <v>22</v>
      </c>
      <c r="G23">
        <v>75</v>
      </c>
      <c r="I23">
        <v>6</v>
      </c>
      <c r="J23">
        <v>47</v>
      </c>
      <c r="K23">
        <v>47</v>
      </c>
      <c r="L23" s="3">
        <f>K23/J23</f>
        <v>1</v>
      </c>
      <c r="M23" s="5"/>
    </row>
    <row r="24" spans="1:13" x14ac:dyDescent="0.2">
      <c r="A24" s="2">
        <v>43777</v>
      </c>
      <c r="B24" s="2">
        <v>43780</v>
      </c>
      <c r="C24">
        <v>796</v>
      </c>
      <c r="D24" t="s">
        <v>12</v>
      </c>
      <c r="E24" t="s">
        <v>13</v>
      </c>
      <c r="F24" t="s">
        <v>22</v>
      </c>
      <c r="G24">
        <v>75</v>
      </c>
      <c r="H24">
        <v>400</v>
      </c>
      <c r="I24">
        <v>6</v>
      </c>
      <c r="J24">
        <v>33</v>
      </c>
      <c r="K24">
        <v>1</v>
      </c>
      <c r="L24" s="3">
        <f t="shared" ref="L24:L25" si="7">K24/J24</f>
        <v>3.0303030303030304E-2</v>
      </c>
      <c r="M24" s="6">
        <f>L24-L23</f>
        <v>-0.96969696969696972</v>
      </c>
    </row>
    <row r="25" spans="1:13" x14ac:dyDescent="0.2">
      <c r="A25" s="2">
        <v>43777</v>
      </c>
      <c r="B25" s="2">
        <v>43780</v>
      </c>
      <c r="C25">
        <v>796</v>
      </c>
      <c r="D25" t="s">
        <v>12</v>
      </c>
      <c r="E25" t="s">
        <v>13</v>
      </c>
      <c r="F25" t="s">
        <v>22</v>
      </c>
      <c r="G25">
        <v>75</v>
      </c>
      <c r="H25">
        <v>750</v>
      </c>
      <c r="I25">
        <v>6</v>
      </c>
      <c r="J25">
        <v>46</v>
      </c>
      <c r="K25">
        <v>40</v>
      </c>
      <c r="L25" s="3">
        <f t="shared" si="7"/>
        <v>0.86956521739130432</v>
      </c>
      <c r="M25" s="6">
        <f>L25-L23</f>
        <v>-0.13043478260869568</v>
      </c>
    </row>
    <row r="26" spans="1:13" x14ac:dyDescent="0.2">
      <c r="A26" s="2">
        <v>43777</v>
      </c>
      <c r="B26" s="2">
        <v>43780</v>
      </c>
      <c r="C26">
        <v>796</v>
      </c>
      <c r="D26" t="s">
        <v>12</v>
      </c>
      <c r="E26" t="s">
        <v>13</v>
      </c>
      <c r="F26" t="s">
        <v>22</v>
      </c>
      <c r="G26">
        <v>100</v>
      </c>
      <c r="I26">
        <v>6</v>
      </c>
      <c r="J26">
        <v>45</v>
      </c>
      <c r="K26">
        <v>45</v>
      </c>
      <c r="L26" s="3">
        <f>K26/J26</f>
        <v>1</v>
      </c>
      <c r="M26" s="5"/>
    </row>
    <row r="27" spans="1:13" x14ac:dyDescent="0.2">
      <c r="A27" s="2">
        <v>43777</v>
      </c>
      <c r="B27" s="2">
        <v>43780</v>
      </c>
      <c r="C27">
        <v>796</v>
      </c>
      <c r="D27" t="s">
        <v>12</v>
      </c>
      <c r="E27" t="s">
        <v>13</v>
      </c>
      <c r="F27" t="s">
        <v>22</v>
      </c>
      <c r="G27">
        <v>100</v>
      </c>
      <c r="H27">
        <v>400</v>
      </c>
      <c r="I27">
        <v>6</v>
      </c>
      <c r="J27">
        <v>39</v>
      </c>
      <c r="K27">
        <v>12</v>
      </c>
      <c r="L27" s="3">
        <f t="shared" ref="L27:L28" si="8">K27/J27</f>
        <v>0.30769230769230771</v>
      </c>
      <c r="M27" s="6">
        <f>L27-L26</f>
        <v>-0.69230769230769229</v>
      </c>
    </row>
    <row r="28" spans="1:13" x14ac:dyDescent="0.2">
      <c r="A28" s="2">
        <v>43777</v>
      </c>
      <c r="B28" s="2">
        <v>43780</v>
      </c>
      <c r="C28">
        <v>796</v>
      </c>
      <c r="D28" t="s">
        <v>12</v>
      </c>
      <c r="E28" t="s">
        <v>13</v>
      </c>
      <c r="F28" t="s">
        <v>22</v>
      </c>
      <c r="G28">
        <v>100</v>
      </c>
      <c r="H28">
        <v>750</v>
      </c>
      <c r="I28">
        <v>6</v>
      </c>
      <c r="J28">
        <v>39</v>
      </c>
      <c r="K28">
        <v>36</v>
      </c>
      <c r="L28" s="3">
        <f t="shared" si="8"/>
        <v>0.92307692307692313</v>
      </c>
      <c r="M28" s="6">
        <f>L28-L26</f>
        <v>-7.6923076923076872E-2</v>
      </c>
    </row>
    <row r="29" spans="1:13" x14ac:dyDescent="0.2">
      <c r="A29" s="2">
        <v>43777</v>
      </c>
      <c r="B29" s="2">
        <v>43780</v>
      </c>
      <c r="C29">
        <v>796</v>
      </c>
      <c r="D29" t="s">
        <v>12</v>
      </c>
      <c r="E29" t="s">
        <v>15</v>
      </c>
      <c r="F29" t="s">
        <v>22</v>
      </c>
      <c r="G29">
        <v>50</v>
      </c>
      <c r="I29">
        <v>6</v>
      </c>
      <c r="J29">
        <v>45</v>
      </c>
      <c r="K29">
        <v>45</v>
      </c>
      <c r="L29" s="3">
        <f>K29/J29</f>
        <v>1</v>
      </c>
      <c r="M29" s="5"/>
    </row>
    <row r="30" spans="1:13" x14ac:dyDescent="0.2">
      <c r="A30" s="2">
        <v>43777</v>
      </c>
      <c r="B30" s="2">
        <v>43780</v>
      </c>
      <c r="C30">
        <v>796</v>
      </c>
      <c r="D30" t="s">
        <v>12</v>
      </c>
      <c r="E30" t="s">
        <v>15</v>
      </c>
      <c r="F30" t="s">
        <v>22</v>
      </c>
      <c r="G30">
        <v>50</v>
      </c>
      <c r="H30">
        <v>400</v>
      </c>
      <c r="I30">
        <v>6</v>
      </c>
      <c r="J30">
        <v>45</v>
      </c>
      <c r="K30">
        <v>45</v>
      </c>
      <c r="L30" s="3">
        <f t="shared" ref="L30:L31" si="9">K30/J30</f>
        <v>1</v>
      </c>
      <c r="M30" s="6">
        <f>L30-L29</f>
        <v>0</v>
      </c>
    </row>
    <row r="31" spans="1:13" x14ac:dyDescent="0.2">
      <c r="A31" s="2">
        <v>43777</v>
      </c>
      <c r="B31" s="2">
        <v>43780</v>
      </c>
      <c r="C31">
        <v>796</v>
      </c>
      <c r="D31" t="s">
        <v>12</v>
      </c>
      <c r="E31" t="s">
        <v>15</v>
      </c>
      <c r="F31" t="s">
        <v>22</v>
      </c>
      <c r="G31">
        <v>50</v>
      </c>
      <c r="H31">
        <v>750</v>
      </c>
      <c r="I31">
        <v>6</v>
      </c>
      <c r="J31">
        <v>53</v>
      </c>
      <c r="K31">
        <v>53</v>
      </c>
      <c r="L31" s="3">
        <f t="shared" si="9"/>
        <v>1</v>
      </c>
      <c r="M31" s="6">
        <f>L31-L29</f>
        <v>0</v>
      </c>
    </row>
    <row r="32" spans="1:13" x14ac:dyDescent="0.2">
      <c r="A32" s="2">
        <v>43777</v>
      </c>
      <c r="B32" s="2">
        <v>43780</v>
      </c>
      <c r="C32">
        <v>796</v>
      </c>
      <c r="D32" t="s">
        <v>12</v>
      </c>
      <c r="E32" t="s">
        <v>15</v>
      </c>
      <c r="F32" t="s">
        <v>22</v>
      </c>
      <c r="G32">
        <v>75</v>
      </c>
      <c r="I32">
        <v>6</v>
      </c>
      <c r="J32">
        <v>36</v>
      </c>
      <c r="K32">
        <v>36</v>
      </c>
      <c r="L32" s="3">
        <f>K32/J32</f>
        <v>1</v>
      </c>
      <c r="M32" s="5"/>
    </row>
    <row r="33" spans="1:13" x14ac:dyDescent="0.2">
      <c r="A33" s="2">
        <v>43777</v>
      </c>
      <c r="B33" s="2">
        <v>43780</v>
      </c>
      <c r="C33">
        <v>796</v>
      </c>
      <c r="D33" t="s">
        <v>12</v>
      </c>
      <c r="E33" t="s">
        <v>15</v>
      </c>
      <c r="F33" t="s">
        <v>22</v>
      </c>
      <c r="G33">
        <v>75</v>
      </c>
      <c r="H33">
        <v>400</v>
      </c>
      <c r="I33">
        <v>6</v>
      </c>
      <c r="J33">
        <v>42</v>
      </c>
      <c r="K33">
        <v>42</v>
      </c>
      <c r="L33" s="3">
        <f t="shared" ref="L33:L34" si="10">K33/J33</f>
        <v>1</v>
      </c>
      <c r="M33" s="6">
        <f>L33-L32</f>
        <v>0</v>
      </c>
    </row>
    <row r="34" spans="1:13" x14ac:dyDescent="0.2">
      <c r="A34" s="2">
        <v>43777</v>
      </c>
      <c r="B34" s="2">
        <v>43780</v>
      </c>
      <c r="C34">
        <v>796</v>
      </c>
      <c r="D34" t="s">
        <v>12</v>
      </c>
      <c r="E34" t="s">
        <v>15</v>
      </c>
      <c r="F34" t="s">
        <v>22</v>
      </c>
      <c r="G34">
        <v>75</v>
      </c>
      <c r="H34">
        <v>750</v>
      </c>
      <c r="I34">
        <v>6</v>
      </c>
      <c r="J34">
        <v>52</v>
      </c>
      <c r="K34">
        <v>52</v>
      </c>
      <c r="L34" s="3">
        <f t="shared" si="10"/>
        <v>1</v>
      </c>
      <c r="M34" s="6">
        <f>L34-L32</f>
        <v>0</v>
      </c>
    </row>
    <row r="35" spans="1:13" x14ac:dyDescent="0.2">
      <c r="A35" s="2">
        <v>43777</v>
      </c>
      <c r="B35" s="2">
        <v>43780</v>
      </c>
      <c r="C35">
        <v>796</v>
      </c>
      <c r="D35" t="s">
        <v>12</v>
      </c>
      <c r="E35" t="s">
        <v>15</v>
      </c>
      <c r="F35" t="s">
        <v>22</v>
      </c>
      <c r="G35">
        <v>100</v>
      </c>
      <c r="I35">
        <v>6</v>
      </c>
      <c r="J35">
        <v>40</v>
      </c>
      <c r="K35">
        <v>40</v>
      </c>
      <c r="L35" s="3">
        <f>K35/J35</f>
        <v>1</v>
      </c>
      <c r="M35" s="5"/>
    </row>
    <row r="36" spans="1:13" x14ac:dyDescent="0.2">
      <c r="A36" s="2">
        <v>43777</v>
      </c>
      <c r="B36" s="2">
        <v>43780</v>
      </c>
      <c r="C36">
        <v>796</v>
      </c>
      <c r="D36" t="s">
        <v>12</v>
      </c>
      <c r="E36" t="s">
        <v>15</v>
      </c>
      <c r="F36" t="s">
        <v>22</v>
      </c>
      <c r="G36">
        <v>100</v>
      </c>
      <c r="H36">
        <v>400</v>
      </c>
      <c r="I36">
        <v>6</v>
      </c>
      <c r="J36">
        <v>42</v>
      </c>
      <c r="K36">
        <v>42</v>
      </c>
      <c r="L36" s="3">
        <f t="shared" ref="L36:L37" si="11">K36/J36</f>
        <v>1</v>
      </c>
      <c r="M36" s="6">
        <f>L36-L35</f>
        <v>0</v>
      </c>
    </row>
    <row r="37" spans="1:13" x14ac:dyDescent="0.2">
      <c r="A37" s="2">
        <v>43777</v>
      </c>
      <c r="B37" s="2">
        <v>43780</v>
      </c>
      <c r="C37">
        <v>796</v>
      </c>
      <c r="D37" t="s">
        <v>12</v>
      </c>
      <c r="E37" t="s">
        <v>15</v>
      </c>
      <c r="F37" t="s">
        <v>22</v>
      </c>
      <c r="G37">
        <v>100</v>
      </c>
      <c r="H37">
        <v>750</v>
      </c>
      <c r="I37">
        <v>6</v>
      </c>
      <c r="J37">
        <v>43</v>
      </c>
      <c r="K37">
        <v>43</v>
      </c>
      <c r="L37" s="3">
        <f t="shared" si="11"/>
        <v>1</v>
      </c>
      <c r="M37" s="6">
        <f>L37-L35</f>
        <v>0</v>
      </c>
    </row>
    <row r="43" spans="1:13" x14ac:dyDescent="0.2">
      <c r="A43" t="s">
        <v>17</v>
      </c>
    </row>
    <row r="44" spans="1:13" ht="119" x14ac:dyDescent="0.2">
      <c r="A44" s="10" t="s">
        <v>0</v>
      </c>
      <c r="B44" s="10" t="s">
        <v>1</v>
      </c>
      <c r="C44" s="10" t="s">
        <v>2</v>
      </c>
      <c r="D44" s="10" t="s">
        <v>3</v>
      </c>
      <c r="E44" s="10" t="s">
        <v>4</v>
      </c>
      <c r="F44" s="10" t="s">
        <v>20</v>
      </c>
      <c r="G44" s="10" t="s">
        <v>5</v>
      </c>
      <c r="H44" s="10" t="s">
        <v>6</v>
      </c>
      <c r="I44" s="10" t="s">
        <v>7</v>
      </c>
      <c r="J44" s="10" t="s">
        <v>8</v>
      </c>
      <c r="K44" s="10" t="s">
        <v>9</v>
      </c>
      <c r="L44" s="10" t="s">
        <v>10</v>
      </c>
    </row>
    <row r="45" spans="1:13" x14ac:dyDescent="0.2">
      <c r="A45" s="2">
        <v>43777</v>
      </c>
      <c r="B45" s="2">
        <v>43780</v>
      </c>
      <c r="C45">
        <v>796</v>
      </c>
      <c r="D45" t="s">
        <v>12</v>
      </c>
      <c r="E45" t="s">
        <v>13</v>
      </c>
      <c r="F45" t="s">
        <v>21</v>
      </c>
      <c r="G45">
        <v>50</v>
      </c>
      <c r="H45">
        <v>400</v>
      </c>
      <c r="I45">
        <v>6</v>
      </c>
      <c r="J45">
        <v>49</v>
      </c>
      <c r="K45">
        <v>49</v>
      </c>
      <c r="L45" s="3">
        <f t="shared" ref="L45:L80" si="12">K45/J45</f>
        <v>1</v>
      </c>
    </row>
    <row r="46" spans="1:13" x14ac:dyDescent="0.2">
      <c r="A46" s="2">
        <v>43777</v>
      </c>
      <c r="B46" s="2">
        <v>43780</v>
      </c>
      <c r="C46">
        <v>796</v>
      </c>
      <c r="D46" t="s">
        <v>12</v>
      </c>
      <c r="E46" t="s">
        <v>13</v>
      </c>
      <c r="F46" t="s">
        <v>21</v>
      </c>
      <c r="G46">
        <v>75</v>
      </c>
      <c r="H46">
        <v>400</v>
      </c>
      <c r="I46">
        <v>6</v>
      </c>
      <c r="J46">
        <v>46</v>
      </c>
      <c r="K46">
        <v>0</v>
      </c>
      <c r="L46" s="3">
        <f t="shared" si="12"/>
        <v>0</v>
      </c>
    </row>
    <row r="47" spans="1:13" x14ac:dyDescent="0.2">
      <c r="A47" s="2">
        <v>43777</v>
      </c>
      <c r="B47" s="2">
        <v>43780</v>
      </c>
      <c r="C47">
        <v>796</v>
      </c>
      <c r="D47" t="s">
        <v>12</v>
      </c>
      <c r="E47" t="s">
        <v>13</v>
      </c>
      <c r="F47" t="s">
        <v>21</v>
      </c>
      <c r="G47">
        <v>100</v>
      </c>
      <c r="H47">
        <v>400</v>
      </c>
      <c r="I47">
        <v>6</v>
      </c>
      <c r="J47">
        <v>40</v>
      </c>
      <c r="K47">
        <v>3</v>
      </c>
      <c r="L47" s="3">
        <f t="shared" si="12"/>
        <v>7.4999999999999997E-2</v>
      </c>
    </row>
    <row r="48" spans="1:13" x14ac:dyDescent="0.2">
      <c r="A48" s="2">
        <v>43777</v>
      </c>
      <c r="B48" s="2">
        <v>43780</v>
      </c>
      <c r="C48">
        <v>796</v>
      </c>
      <c r="D48" t="s">
        <v>12</v>
      </c>
      <c r="E48" t="s">
        <v>13</v>
      </c>
      <c r="F48" t="s">
        <v>22</v>
      </c>
      <c r="G48">
        <v>50</v>
      </c>
      <c r="H48">
        <v>400</v>
      </c>
      <c r="I48">
        <v>6</v>
      </c>
      <c r="J48">
        <v>48</v>
      </c>
      <c r="K48">
        <v>48</v>
      </c>
      <c r="L48" s="3">
        <f t="shared" si="12"/>
        <v>1</v>
      </c>
    </row>
    <row r="49" spans="1:12" x14ac:dyDescent="0.2">
      <c r="A49" s="2">
        <v>43777</v>
      </c>
      <c r="B49" s="2">
        <v>43780</v>
      </c>
      <c r="C49">
        <v>796</v>
      </c>
      <c r="D49" t="s">
        <v>12</v>
      </c>
      <c r="E49" t="s">
        <v>13</v>
      </c>
      <c r="F49" t="s">
        <v>22</v>
      </c>
      <c r="G49">
        <v>75</v>
      </c>
      <c r="H49">
        <v>400</v>
      </c>
      <c r="I49">
        <v>6</v>
      </c>
      <c r="J49">
        <v>33</v>
      </c>
      <c r="K49">
        <v>1</v>
      </c>
      <c r="L49" s="3">
        <f t="shared" si="12"/>
        <v>3.0303030303030304E-2</v>
      </c>
    </row>
    <row r="50" spans="1:12" x14ac:dyDescent="0.2">
      <c r="A50" s="2">
        <v>43777</v>
      </c>
      <c r="B50" s="2">
        <v>43780</v>
      </c>
      <c r="C50">
        <v>796</v>
      </c>
      <c r="D50" t="s">
        <v>12</v>
      </c>
      <c r="E50" t="s">
        <v>13</v>
      </c>
      <c r="F50" t="s">
        <v>22</v>
      </c>
      <c r="G50">
        <v>100</v>
      </c>
      <c r="H50">
        <v>400</v>
      </c>
      <c r="I50">
        <v>6</v>
      </c>
      <c r="J50">
        <v>39</v>
      </c>
      <c r="K50">
        <v>12</v>
      </c>
      <c r="L50" s="3">
        <f t="shared" si="12"/>
        <v>0.30769230769230771</v>
      </c>
    </row>
    <row r="51" spans="1:12" x14ac:dyDescent="0.2">
      <c r="A51" s="2">
        <v>43777</v>
      </c>
      <c r="B51" s="2">
        <v>43780</v>
      </c>
      <c r="C51">
        <v>796</v>
      </c>
      <c r="D51" t="s">
        <v>12</v>
      </c>
      <c r="E51" t="s">
        <v>13</v>
      </c>
      <c r="F51" t="s">
        <v>21</v>
      </c>
      <c r="G51">
        <v>50</v>
      </c>
      <c r="H51">
        <v>750</v>
      </c>
      <c r="I51">
        <v>6</v>
      </c>
      <c r="J51">
        <v>55</v>
      </c>
      <c r="K51">
        <v>55</v>
      </c>
      <c r="L51" s="3">
        <f t="shared" si="12"/>
        <v>1</v>
      </c>
    </row>
    <row r="52" spans="1:12" x14ac:dyDescent="0.2">
      <c r="A52" s="2">
        <v>43777</v>
      </c>
      <c r="B52" s="2">
        <v>43780</v>
      </c>
      <c r="C52">
        <v>796</v>
      </c>
      <c r="D52" t="s">
        <v>12</v>
      </c>
      <c r="E52" t="s">
        <v>13</v>
      </c>
      <c r="F52" t="s">
        <v>21</v>
      </c>
      <c r="G52">
        <v>75</v>
      </c>
      <c r="H52">
        <v>750</v>
      </c>
      <c r="I52">
        <v>6</v>
      </c>
      <c r="J52">
        <v>50</v>
      </c>
      <c r="K52">
        <v>8</v>
      </c>
      <c r="L52" s="3">
        <f t="shared" si="12"/>
        <v>0.16</v>
      </c>
    </row>
    <row r="53" spans="1:12" x14ac:dyDescent="0.2">
      <c r="A53" s="2">
        <v>43777</v>
      </c>
      <c r="B53" s="2">
        <v>43780</v>
      </c>
      <c r="C53">
        <v>796</v>
      </c>
      <c r="D53" t="s">
        <v>12</v>
      </c>
      <c r="E53" t="s">
        <v>13</v>
      </c>
      <c r="F53" t="s">
        <v>21</v>
      </c>
      <c r="G53">
        <v>100</v>
      </c>
      <c r="H53">
        <v>750</v>
      </c>
      <c r="I53">
        <v>6</v>
      </c>
      <c r="J53">
        <v>45</v>
      </c>
      <c r="K53">
        <v>6</v>
      </c>
      <c r="L53" s="3">
        <f t="shared" si="12"/>
        <v>0.13333333333333333</v>
      </c>
    </row>
    <row r="54" spans="1:12" x14ac:dyDescent="0.2">
      <c r="A54" s="2">
        <v>43777</v>
      </c>
      <c r="B54" s="2">
        <v>43780</v>
      </c>
      <c r="C54">
        <v>796</v>
      </c>
      <c r="D54" t="s">
        <v>12</v>
      </c>
      <c r="E54" t="s">
        <v>13</v>
      </c>
      <c r="F54" t="s">
        <v>22</v>
      </c>
      <c r="G54">
        <v>50</v>
      </c>
      <c r="H54">
        <v>750</v>
      </c>
      <c r="I54">
        <v>6</v>
      </c>
      <c r="J54">
        <v>36</v>
      </c>
      <c r="K54">
        <v>36</v>
      </c>
      <c r="L54" s="3">
        <f t="shared" si="12"/>
        <v>1</v>
      </c>
    </row>
    <row r="55" spans="1:12" x14ac:dyDescent="0.2">
      <c r="A55" s="2">
        <v>43777</v>
      </c>
      <c r="B55" s="2">
        <v>43780</v>
      </c>
      <c r="C55">
        <v>796</v>
      </c>
      <c r="D55" t="s">
        <v>12</v>
      </c>
      <c r="E55" t="s">
        <v>13</v>
      </c>
      <c r="F55" t="s">
        <v>22</v>
      </c>
      <c r="G55">
        <v>75</v>
      </c>
      <c r="H55">
        <v>750</v>
      </c>
      <c r="I55">
        <v>6</v>
      </c>
      <c r="J55">
        <v>46</v>
      </c>
      <c r="K55">
        <v>40</v>
      </c>
      <c r="L55" s="3">
        <f t="shared" si="12"/>
        <v>0.86956521739130432</v>
      </c>
    </row>
    <row r="56" spans="1:12" x14ac:dyDescent="0.2">
      <c r="A56" s="2">
        <v>43777</v>
      </c>
      <c r="B56" s="2">
        <v>43780</v>
      </c>
      <c r="C56">
        <v>796</v>
      </c>
      <c r="D56" t="s">
        <v>12</v>
      </c>
      <c r="E56" t="s">
        <v>13</v>
      </c>
      <c r="F56" t="s">
        <v>22</v>
      </c>
      <c r="G56">
        <v>100</v>
      </c>
      <c r="H56">
        <v>750</v>
      </c>
      <c r="I56">
        <v>6</v>
      </c>
      <c r="J56">
        <v>39</v>
      </c>
      <c r="K56">
        <v>36</v>
      </c>
      <c r="L56" s="3">
        <f t="shared" si="12"/>
        <v>0.92307692307692313</v>
      </c>
    </row>
    <row r="57" spans="1:12" x14ac:dyDescent="0.2">
      <c r="A57" s="2">
        <v>43777</v>
      </c>
      <c r="B57" s="2">
        <v>43780</v>
      </c>
      <c r="C57">
        <v>796</v>
      </c>
      <c r="D57" t="s">
        <v>12</v>
      </c>
      <c r="E57" t="s">
        <v>13</v>
      </c>
      <c r="F57" t="s">
        <v>21</v>
      </c>
      <c r="G57">
        <v>50</v>
      </c>
      <c r="I57">
        <v>6</v>
      </c>
      <c r="J57">
        <v>37</v>
      </c>
      <c r="K57">
        <v>0</v>
      </c>
      <c r="L57" s="3">
        <f t="shared" si="12"/>
        <v>0</v>
      </c>
    </row>
    <row r="58" spans="1:12" x14ac:dyDescent="0.2">
      <c r="A58" s="2">
        <v>43777</v>
      </c>
      <c r="B58" s="2">
        <v>43780</v>
      </c>
      <c r="C58">
        <v>796</v>
      </c>
      <c r="D58" t="s">
        <v>12</v>
      </c>
      <c r="E58" t="s">
        <v>13</v>
      </c>
      <c r="F58" t="s">
        <v>21</v>
      </c>
      <c r="G58">
        <v>75</v>
      </c>
      <c r="I58">
        <v>6</v>
      </c>
      <c r="J58">
        <v>32</v>
      </c>
      <c r="K58">
        <v>0</v>
      </c>
      <c r="L58" s="3">
        <f t="shared" si="12"/>
        <v>0</v>
      </c>
    </row>
    <row r="59" spans="1:12" x14ac:dyDescent="0.2">
      <c r="A59" s="2">
        <v>43777</v>
      </c>
      <c r="B59" s="2">
        <v>43780</v>
      </c>
      <c r="C59">
        <v>796</v>
      </c>
      <c r="D59" t="s">
        <v>12</v>
      </c>
      <c r="E59" t="s">
        <v>13</v>
      </c>
      <c r="F59" t="s">
        <v>21</v>
      </c>
      <c r="G59">
        <v>100</v>
      </c>
      <c r="I59">
        <v>6</v>
      </c>
      <c r="J59">
        <v>45</v>
      </c>
      <c r="K59">
        <v>0</v>
      </c>
      <c r="L59" s="3">
        <f t="shared" si="12"/>
        <v>0</v>
      </c>
    </row>
    <row r="60" spans="1:12" x14ac:dyDescent="0.2">
      <c r="A60" s="2">
        <v>43777</v>
      </c>
      <c r="B60" s="2">
        <v>43780</v>
      </c>
      <c r="C60">
        <v>796</v>
      </c>
      <c r="D60" t="s">
        <v>12</v>
      </c>
      <c r="E60" t="s">
        <v>13</v>
      </c>
      <c r="F60" t="s">
        <v>22</v>
      </c>
      <c r="G60">
        <v>50</v>
      </c>
      <c r="I60">
        <v>6</v>
      </c>
      <c r="J60">
        <v>42</v>
      </c>
      <c r="K60">
        <v>42</v>
      </c>
      <c r="L60" s="3">
        <f t="shared" si="12"/>
        <v>1</v>
      </c>
    </row>
    <row r="61" spans="1:12" x14ac:dyDescent="0.2">
      <c r="A61" s="2">
        <v>43777</v>
      </c>
      <c r="B61" s="2">
        <v>43780</v>
      </c>
      <c r="C61">
        <v>796</v>
      </c>
      <c r="D61" t="s">
        <v>12</v>
      </c>
      <c r="E61" t="s">
        <v>13</v>
      </c>
      <c r="F61" t="s">
        <v>22</v>
      </c>
      <c r="G61">
        <v>75</v>
      </c>
      <c r="I61">
        <v>6</v>
      </c>
      <c r="J61">
        <v>47</v>
      </c>
      <c r="K61">
        <v>47</v>
      </c>
      <c r="L61" s="3">
        <f t="shared" si="12"/>
        <v>1</v>
      </c>
    </row>
    <row r="62" spans="1:12" x14ac:dyDescent="0.2">
      <c r="A62" s="2">
        <v>43777</v>
      </c>
      <c r="B62" s="2">
        <v>43780</v>
      </c>
      <c r="C62">
        <v>796</v>
      </c>
      <c r="D62" t="s">
        <v>12</v>
      </c>
      <c r="E62" t="s">
        <v>13</v>
      </c>
      <c r="F62" t="s">
        <v>22</v>
      </c>
      <c r="G62">
        <v>100</v>
      </c>
      <c r="I62">
        <v>6</v>
      </c>
      <c r="J62">
        <v>45</v>
      </c>
      <c r="K62">
        <v>45</v>
      </c>
      <c r="L62" s="3">
        <f t="shared" si="12"/>
        <v>1</v>
      </c>
    </row>
    <row r="63" spans="1:12" x14ac:dyDescent="0.2">
      <c r="A63" s="2">
        <v>43777</v>
      </c>
      <c r="B63" s="2">
        <v>43780</v>
      </c>
      <c r="C63">
        <v>796</v>
      </c>
      <c r="D63" t="s">
        <v>12</v>
      </c>
      <c r="E63" t="s">
        <v>15</v>
      </c>
      <c r="F63" t="s">
        <v>21</v>
      </c>
      <c r="G63">
        <v>50</v>
      </c>
      <c r="H63">
        <v>400</v>
      </c>
      <c r="I63">
        <v>6</v>
      </c>
      <c r="J63">
        <v>43</v>
      </c>
      <c r="K63">
        <v>41</v>
      </c>
      <c r="L63" s="3">
        <f t="shared" si="12"/>
        <v>0.95348837209302328</v>
      </c>
    </row>
    <row r="64" spans="1:12" x14ac:dyDescent="0.2">
      <c r="A64" s="2">
        <v>43777</v>
      </c>
      <c r="B64" s="2">
        <v>43780</v>
      </c>
      <c r="C64">
        <v>796</v>
      </c>
      <c r="D64" t="s">
        <v>12</v>
      </c>
      <c r="E64" t="s">
        <v>15</v>
      </c>
      <c r="F64" t="s">
        <v>21</v>
      </c>
      <c r="G64">
        <v>75</v>
      </c>
      <c r="H64">
        <v>400</v>
      </c>
      <c r="I64">
        <v>6</v>
      </c>
      <c r="J64">
        <v>29</v>
      </c>
      <c r="K64">
        <v>29</v>
      </c>
      <c r="L64" s="3">
        <f t="shared" si="12"/>
        <v>1</v>
      </c>
    </row>
    <row r="65" spans="1:12" x14ac:dyDescent="0.2">
      <c r="A65" s="2">
        <v>43777</v>
      </c>
      <c r="B65" s="2">
        <v>43780</v>
      </c>
      <c r="C65">
        <v>796</v>
      </c>
      <c r="D65" t="s">
        <v>12</v>
      </c>
      <c r="E65" t="s">
        <v>15</v>
      </c>
      <c r="F65" t="s">
        <v>21</v>
      </c>
      <c r="G65">
        <v>100</v>
      </c>
      <c r="H65">
        <v>400</v>
      </c>
      <c r="I65">
        <v>6</v>
      </c>
      <c r="J65">
        <v>49</v>
      </c>
      <c r="K65">
        <v>49</v>
      </c>
      <c r="L65" s="3">
        <f t="shared" si="12"/>
        <v>1</v>
      </c>
    </row>
    <row r="66" spans="1:12" x14ac:dyDescent="0.2">
      <c r="A66" s="2">
        <v>43777</v>
      </c>
      <c r="B66" s="2">
        <v>43780</v>
      </c>
      <c r="C66">
        <v>796</v>
      </c>
      <c r="D66" t="s">
        <v>12</v>
      </c>
      <c r="E66" t="s">
        <v>15</v>
      </c>
      <c r="F66" t="s">
        <v>22</v>
      </c>
      <c r="G66">
        <v>50</v>
      </c>
      <c r="H66">
        <v>400</v>
      </c>
      <c r="I66">
        <v>6</v>
      </c>
      <c r="J66">
        <v>45</v>
      </c>
      <c r="K66">
        <v>45</v>
      </c>
      <c r="L66" s="3">
        <f t="shared" si="12"/>
        <v>1</v>
      </c>
    </row>
    <row r="67" spans="1:12" x14ac:dyDescent="0.2">
      <c r="A67" s="2">
        <v>43777</v>
      </c>
      <c r="B67" s="2">
        <v>43780</v>
      </c>
      <c r="C67">
        <v>796</v>
      </c>
      <c r="D67" t="s">
        <v>12</v>
      </c>
      <c r="E67" t="s">
        <v>15</v>
      </c>
      <c r="F67" t="s">
        <v>22</v>
      </c>
      <c r="G67">
        <v>75</v>
      </c>
      <c r="H67">
        <v>400</v>
      </c>
      <c r="I67">
        <v>6</v>
      </c>
      <c r="J67">
        <v>42</v>
      </c>
      <c r="K67">
        <v>42</v>
      </c>
      <c r="L67" s="3">
        <f t="shared" si="12"/>
        <v>1</v>
      </c>
    </row>
    <row r="68" spans="1:12" x14ac:dyDescent="0.2">
      <c r="A68" s="2">
        <v>43777</v>
      </c>
      <c r="B68" s="2">
        <v>43780</v>
      </c>
      <c r="C68">
        <v>796</v>
      </c>
      <c r="D68" t="s">
        <v>12</v>
      </c>
      <c r="E68" t="s">
        <v>15</v>
      </c>
      <c r="F68" t="s">
        <v>22</v>
      </c>
      <c r="G68">
        <v>100</v>
      </c>
      <c r="H68">
        <v>400</v>
      </c>
      <c r="I68">
        <v>6</v>
      </c>
      <c r="J68">
        <v>42</v>
      </c>
      <c r="K68">
        <v>42</v>
      </c>
      <c r="L68" s="3">
        <f t="shared" si="12"/>
        <v>1</v>
      </c>
    </row>
    <row r="69" spans="1:12" x14ac:dyDescent="0.2">
      <c r="A69" s="2">
        <v>43777</v>
      </c>
      <c r="B69" s="2">
        <v>43780</v>
      </c>
      <c r="C69">
        <v>796</v>
      </c>
      <c r="D69" t="s">
        <v>12</v>
      </c>
      <c r="E69" t="s">
        <v>15</v>
      </c>
      <c r="F69" t="s">
        <v>21</v>
      </c>
      <c r="G69">
        <v>50</v>
      </c>
      <c r="H69">
        <v>750</v>
      </c>
      <c r="I69">
        <v>6</v>
      </c>
      <c r="J69">
        <v>38</v>
      </c>
      <c r="K69">
        <v>38</v>
      </c>
      <c r="L69" s="3">
        <f t="shared" si="12"/>
        <v>1</v>
      </c>
    </row>
    <row r="70" spans="1:12" x14ac:dyDescent="0.2">
      <c r="A70" s="2">
        <v>43777</v>
      </c>
      <c r="B70" s="2">
        <v>43780</v>
      </c>
      <c r="C70">
        <v>796</v>
      </c>
      <c r="D70" t="s">
        <v>12</v>
      </c>
      <c r="E70" t="s">
        <v>15</v>
      </c>
      <c r="F70" t="s">
        <v>21</v>
      </c>
      <c r="G70">
        <v>75</v>
      </c>
      <c r="H70">
        <v>750</v>
      </c>
      <c r="I70">
        <v>6</v>
      </c>
      <c r="J70">
        <v>58</v>
      </c>
      <c r="K70">
        <v>58</v>
      </c>
      <c r="L70" s="3">
        <f t="shared" si="12"/>
        <v>1</v>
      </c>
    </row>
    <row r="71" spans="1:12" x14ac:dyDescent="0.2">
      <c r="A71" s="2">
        <v>43777</v>
      </c>
      <c r="B71" s="2">
        <v>43780</v>
      </c>
      <c r="C71">
        <v>796</v>
      </c>
      <c r="D71" t="s">
        <v>12</v>
      </c>
      <c r="E71" t="s">
        <v>15</v>
      </c>
      <c r="F71" t="s">
        <v>21</v>
      </c>
      <c r="G71">
        <v>100</v>
      </c>
      <c r="H71">
        <v>750</v>
      </c>
      <c r="I71">
        <v>6</v>
      </c>
      <c r="J71">
        <v>48</v>
      </c>
      <c r="K71">
        <v>48</v>
      </c>
      <c r="L71" s="3">
        <f t="shared" si="12"/>
        <v>1</v>
      </c>
    </row>
    <row r="72" spans="1:12" x14ac:dyDescent="0.2">
      <c r="A72" s="2">
        <v>43777</v>
      </c>
      <c r="B72" s="2">
        <v>43780</v>
      </c>
      <c r="C72">
        <v>796</v>
      </c>
      <c r="D72" t="s">
        <v>12</v>
      </c>
      <c r="E72" t="s">
        <v>15</v>
      </c>
      <c r="F72" t="s">
        <v>22</v>
      </c>
      <c r="G72">
        <v>50</v>
      </c>
      <c r="H72">
        <v>750</v>
      </c>
      <c r="I72">
        <v>6</v>
      </c>
      <c r="J72">
        <v>53</v>
      </c>
      <c r="K72">
        <v>53</v>
      </c>
      <c r="L72" s="3">
        <f t="shared" si="12"/>
        <v>1</v>
      </c>
    </row>
    <row r="73" spans="1:12" x14ac:dyDescent="0.2">
      <c r="A73" s="2">
        <v>43777</v>
      </c>
      <c r="B73" s="2">
        <v>43780</v>
      </c>
      <c r="C73">
        <v>796</v>
      </c>
      <c r="D73" t="s">
        <v>12</v>
      </c>
      <c r="E73" t="s">
        <v>15</v>
      </c>
      <c r="F73" t="s">
        <v>22</v>
      </c>
      <c r="G73">
        <v>75</v>
      </c>
      <c r="H73">
        <v>750</v>
      </c>
      <c r="I73">
        <v>6</v>
      </c>
      <c r="J73">
        <v>52</v>
      </c>
      <c r="K73">
        <v>52</v>
      </c>
      <c r="L73" s="3">
        <f t="shared" si="12"/>
        <v>1</v>
      </c>
    </row>
    <row r="74" spans="1:12" x14ac:dyDescent="0.2">
      <c r="A74" s="2">
        <v>43777</v>
      </c>
      <c r="B74" s="2">
        <v>43780</v>
      </c>
      <c r="C74">
        <v>796</v>
      </c>
      <c r="D74" t="s">
        <v>12</v>
      </c>
      <c r="E74" t="s">
        <v>15</v>
      </c>
      <c r="F74" t="s">
        <v>22</v>
      </c>
      <c r="G74">
        <v>100</v>
      </c>
      <c r="H74">
        <v>750</v>
      </c>
      <c r="I74">
        <v>6</v>
      </c>
      <c r="J74">
        <v>43</v>
      </c>
      <c r="K74">
        <v>43</v>
      </c>
      <c r="L74" s="3">
        <f t="shared" si="12"/>
        <v>1</v>
      </c>
    </row>
    <row r="75" spans="1:12" x14ac:dyDescent="0.2">
      <c r="A75" s="2">
        <v>43777</v>
      </c>
      <c r="B75" s="2">
        <v>43780</v>
      </c>
      <c r="C75">
        <v>796</v>
      </c>
      <c r="D75" t="s">
        <v>12</v>
      </c>
      <c r="E75" t="s">
        <v>15</v>
      </c>
      <c r="F75" t="s">
        <v>21</v>
      </c>
      <c r="G75">
        <v>50</v>
      </c>
      <c r="I75">
        <v>6</v>
      </c>
      <c r="J75">
        <v>57</v>
      </c>
      <c r="K75">
        <v>0</v>
      </c>
      <c r="L75" s="3">
        <f t="shared" si="12"/>
        <v>0</v>
      </c>
    </row>
    <row r="76" spans="1:12" x14ac:dyDescent="0.2">
      <c r="A76" s="2">
        <v>43777</v>
      </c>
      <c r="B76" s="2">
        <v>43780</v>
      </c>
      <c r="C76">
        <v>796</v>
      </c>
      <c r="D76" t="s">
        <v>12</v>
      </c>
      <c r="E76" t="s">
        <v>15</v>
      </c>
      <c r="F76" t="s">
        <v>21</v>
      </c>
      <c r="G76">
        <v>75</v>
      </c>
      <c r="I76">
        <v>6</v>
      </c>
      <c r="J76">
        <v>50</v>
      </c>
      <c r="K76">
        <v>50</v>
      </c>
      <c r="L76" s="3">
        <f t="shared" si="12"/>
        <v>1</v>
      </c>
    </row>
    <row r="77" spans="1:12" x14ac:dyDescent="0.2">
      <c r="A77" s="2">
        <v>43777</v>
      </c>
      <c r="B77" s="2">
        <v>43780</v>
      </c>
      <c r="C77">
        <v>796</v>
      </c>
      <c r="D77" t="s">
        <v>12</v>
      </c>
      <c r="E77" t="s">
        <v>15</v>
      </c>
      <c r="F77" t="s">
        <v>21</v>
      </c>
      <c r="G77">
        <v>100</v>
      </c>
      <c r="I77">
        <v>6</v>
      </c>
      <c r="J77">
        <v>36</v>
      </c>
      <c r="K77">
        <v>33</v>
      </c>
      <c r="L77" s="3">
        <f t="shared" si="12"/>
        <v>0.91666666666666663</v>
      </c>
    </row>
    <row r="78" spans="1:12" x14ac:dyDescent="0.2">
      <c r="A78" s="2">
        <v>43777</v>
      </c>
      <c r="B78" s="2">
        <v>43780</v>
      </c>
      <c r="C78">
        <v>796</v>
      </c>
      <c r="D78" t="s">
        <v>12</v>
      </c>
      <c r="E78" t="s">
        <v>15</v>
      </c>
      <c r="F78" t="s">
        <v>22</v>
      </c>
      <c r="G78">
        <v>50</v>
      </c>
      <c r="I78">
        <v>6</v>
      </c>
      <c r="J78">
        <v>45</v>
      </c>
      <c r="K78">
        <v>45</v>
      </c>
      <c r="L78" s="3">
        <f t="shared" si="12"/>
        <v>1</v>
      </c>
    </row>
    <row r="79" spans="1:12" x14ac:dyDescent="0.2">
      <c r="A79" s="2">
        <v>43777</v>
      </c>
      <c r="B79" s="2">
        <v>43780</v>
      </c>
      <c r="C79">
        <v>796</v>
      </c>
      <c r="D79" t="s">
        <v>12</v>
      </c>
      <c r="E79" t="s">
        <v>15</v>
      </c>
      <c r="F79" t="s">
        <v>22</v>
      </c>
      <c r="G79">
        <v>75</v>
      </c>
      <c r="I79">
        <v>6</v>
      </c>
      <c r="J79">
        <v>36</v>
      </c>
      <c r="K79">
        <v>36</v>
      </c>
      <c r="L79" s="3">
        <f t="shared" si="12"/>
        <v>1</v>
      </c>
    </row>
    <row r="80" spans="1:12" x14ac:dyDescent="0.2">
      <c r="A80" s="2">
        <v>43777</v>
      </c>
      <c r="B80" s="2">
        <v>43780</v>
      </c>
      <c r="C80">
        <v>796</v>
      </c>
      <c r="D80" t="s">
        <v>12</v>
      </c>
      <c r="E80" t="s">
        <v>15</v>
      </c>
      <c r="F80" t="s">
        <v>22</v>
      </c>
      <c r="G80">
        <v>100</v>
      </c>
      <c r="I80">
        <v>6</v>
      </c>
      <c r="J80">
        <v>40</v>
      </c>
      <c r="K80">
        <v>40</v>
      </c>
      <c r="L80" s="3">
        <f t="shared" si="12"/>
        <v>1</v>
      </c>
    </row>
  </sheetData>
  <sortState xmlns:xlrd2="http://schemas.microsoft.com/office/spreadsheetml/2017/richdata2" ref="A45:L80">
    <sortCondition ref="E45:E80"/>
    <sortCondition ref="H45:H80"/>
    <sortCondition ref="F45:F80"/>
    <sortCondition ref="G45:G8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8170-9966-3C4E-8D32-1320EBE787C7}">
  <dimension ref="A1:P78"/>
  <sheetViews>
    <sheetView topLeftCell="A52" workbookViewId="0">
      <selection activeCell="P44" sqref="P44"/>
    </sheetView>
  </sheetViews>
  <sheetFormatPr baseColWidth="10" defaultColWidth="11" defaultRowHeight="16" x14ac:dyDescent="0.2"/>
  <cols>
    <col min="5" max="5" width="19.1640625" customWidth="1"/>
    <col min="15" max="15" width="18.5" customWidth="1"/>
  </cols>
  <sheetData>
    <row r="1" spans="1:16" ht="119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</row>
    <row r="2" spans="1:16" x14ac:dyDescent="0.2">
      <c r="A2" s="2">
        <v>43784</v>
      </c>
      <c r="B2" s="2">
        <v>43787</v>
      </c>
      <c r="C2">
        <v>796</v>
      </c>
      <c r="D2" t="s">
        <v>12</v>
      </c>
      <c r="E2" t="s">
        <v>23</v>
      </c>
      <c r="F2">
        <v>50</v>
      </c>
      <c r="H2">
        <v>3</v>
      </c>
      <c r="I2">
        <v>34</v>
      </c>
      <c r="J2">
        <v>20</v>
      </c>
      <c r="K2" s="3">
        <f>J2/I2</f>
        <v>0.58823529411764708</v>
      </c>
      <c r="L2" s="5"/>
      <c r="P2" s="3"/>
    </row>
    <row r="3" spans="1:16" x14ac:dyDescent="0.2">
      <c r="A3" s="2">
        <v>43784</v>
      </c>
      <c r="B3" s="2">
        <v>43787</v>
      </c>
      <c r="C3">
        <v>796</v>
      </c>
      <c r="D3" t="s">
        <v>12</v>
      </c>
      <c r="E3" t="s">
        <v>23</v>
      </c>
      <c r="F3">
        <v>50</v>
      </c>
      <c r="G3">
        <v>400</v>
      </c>
      <c r="H3">
        <v>3</v>
      </c>
      <c r="I3">
        <v>34</v>
      </c>
      <c r="J3">
        <v>31</v>
      </c>
      <c r="K3" s="3">
        <f t="shared" ref="K3" si="0">J3/I3</f>
        <v>0.91176470588235292</v>
      </c>
      <c r="L3" s="6">
        <f>K3-K2</f>
        <v>0.32352941176470584</v>
      </c>
    </row>
    <row r="4" spans="1:16" x14ac:dyDescent="0.2">
      <c r="A4" s="2">
        <v>43784</v>
      </c>
      <c r="B4" s="2">
        <v>43787</v>
      </c>
      <c r="C4">
        <v>796</v>
      </c>
      <c r="D4" t="s">
        <v>12</v>
      </c>
      <c r="E4" t="s">
        <v>23</v>
      </c>
      <c r="F4">
        <v>75</v>
      </c>
      <c r="H4">
        <v>3</v>
      </c>
      <c r="I4">
        <v>34</v>
      </c>
      <c r="J4">
        <v>26</v>
      </c>
      <c r="K4" s="3">
        <f>J4/I4</f>
        <v>0.76470588235294112</v>
      </c>
      <c r="L4" s="5"/>
    </row>
    <row r="5" spans="1:16" x14ac:dyDescent="0.2">
      <c r="A5" s="2">
        <v>43784</v>
      </c>
      <c r="B5" s="2">
        <v>43787</v>
      </c>
      <c r="C5">
        <v>796</v>
      </c>
      <c r="D5" t="s">
        <v>12</v>
      </c>
      <c r="E5" t="s">
        <v>23</v>
      </c>
      <c r="F5">
        <v>75</v>
      </c>
      <c r="G5">
        <v>400</v>
      </c>
      <c r="H5">
        <v>3</v>
      </c>
      <c r="I5">
        <v>25</v>
      </c>
      <c r="J5">
        <v>20</v>
      </c>
      <c r="K5" s="3">
        <f t="shared" ref="K5" si="1">J5/I5</f>
        <v>0.8</v>
      </c>
      <c r="L5" s="6">
        <f>K5-K4</f>
        <v>3.529411764705892E-2</v>
      </c>
    </row>
    <row r="6" spans="1:16" x14ac:dyDescent="0.2">
      <c r="A6" s="2">
        <v>43784</v>
      </c>
      <c r="B6" s="2">
        <v>43787</v>
      </c>
      <c r="C6" s="16" t="s">
        <v>24</v>
      </c>
      <c r="D6" t="s">
        <v>12</v>
      </c>
      <c r="E6" t="s">
        <v>23</v>
      </c>
      <c r="F6">
        <v>50</v>
      </c>
      <c r="H6">
        <v>3</v>
      </c>
      <c r="I6">
        <v>30</v>
      </c>
      <c r="J6">
        <v>30</v>
      </c>
      <c r="K6" s="3">
        <f>J6/I6</f>
        <v>1</v>
      </c>
      <c r="L6" s="5"/>
    </row>
    <row r="7" spans="1:16" x14ac:dyDescent="0.2">
      <c r="A7" s="2">
        <v>43784</v>
      </c>
      <c r="B7" s="2">
        <v>43787</v>
      </c>
      <c r="C7" s="16" t="s">
        <v>24</v>
      </c>
      <c r="D7" t="s">
        <v>12</v>
      </c>
      <c r="E7" t="s">
        <v>23</v>
      </c>
      <c r="F7">
        <v>50</v>
      </c>
      <c r="G7">
        <v>400</v>
      </c>
      <c r="H7">
        <v>3</v>
      </c>
      <c r="I7">
        <v>31</v>
      </c>
      <c r="J7">
        <v>31</v>
      </c>
      <c r="K7" s="3">
        <f>J7/I7</f>
        <v>1</v>
      </c>
      <c r="L7" s="6">
        <f>K7-K6</f>
        <v>0</v>
      </c>
    </row>
    <row r="8" spans="1:16" x14ac:dyDescent="0.2">
      <c r="A8" s="2">
        <v>43784</v>
      </c>
      <c r="B8" s="2">
        <v>43787</v>
      </c>
      <c r="C8" s="16" t="s">
        <v>24</v>
      </c>
      <c r="D8" t="s">
        <v>12</v>
      </c>
      <c r="E8" t="s">
        <v>23</v>
      </c>
      <c r="F8">
        <v>75</v>
      </c>
      <c r="H8">
        <v>3</v>
      </c>
      <c r="I8">
        <v>30</v>
      </c>
      <c r="J8">
        <v>30</v>
      </c>
      <c r="K8" s="3">
        <f>J8/I8</f>
        <v>1</v>
      </c>
      <c r="L8" s="5"/>
    </row>
    <row r="9" spans="1:16" x14ac:dyDescent="0.2">
      <c r="A9" s="2">
        <v>43784</v>
      </c>
      <c r="B9" s="2">
        <v>43787</v>
      </c>
      <c r="C9" s="16" t="s">
        <v>24</v>
      </c>
      <c r="D9" t="s">
        <v>12</v>
      </c>
      <c r="E9" t="s">
        <v>23</v>
      </c>
      <c r="F9">
        <v>75</v>
      </c>
      <c r="G9">
        <v>400</v>
      </c>
      <c r="H9">
        <v>3</v>
      </c>
      <c r="I9">
        <v>40</v>
      </c>
      <c r="J9">
        <v>40</v>
      </c>
      <c r="K9" s="3">
        <f t="shared" ref="K9" si="2">J9/I9</f>
        <v>1</v>
      </c>
      <c r="L9" s="6">
        <f>K9-K8</f>
        <v>0</v>
      </c>
    </row>
    <row r="10" spans="1:16" x14ac:dyDescent="0.2">
      <c r="A10" s="2">
        <v>43784</v>
      </c>
      <c r="B10" s="2">
        <v>43787</v>
      </c>
      <c r="C10" s="16" t="s">
        <v>25</v>
      </c>
      <c r="D10" t="s">
        <v>12</v>
      </c>
      <c r="E10" t="s">
        <v>23</v>
      </c>
      <c r="F10">
        <v>50</v>
      </c>
      <c r="H10">
        <v>3</v>
      </c>
      <c r="I10">
        <v>35</v>
      </c>
      <c r="J10">
        <v>30</v>
      </c>
      <c r="K10" s="3">
        <f>J10/I10</f>
        <v>0.8571428571428571</v>
      </c>
      <c r="L10" s="5"/>
    </row>
    <row r="11" spans="1:16" x14ac:dyDescent="0.2">
      <c r="A11" s="2">
        <v>43784</v>
      </c>
      <c r="B11" s="2">
        <v>43787</v>
      </c>
      <c r="C11" s="16" t="s">
        <v>25</v>
      </c>
      <c r="D11" t="s">
        <v>12</v>
      </c>
      <c r="E11" t="s">
        <v>23</v>
      </c>
      <c r="F11">
        <v>50</v>
      </c>
      <c r="G11">
        <v>400</v>
      </c>
      <c r="H11">
        <v>3</v>
      </c>
      <c r="I11">
        <v>31</v>
      </c>
      <c r="J11">
        <v>31</v>
      </c>
      <c r="K11" s="3">
        <f t="shared" ref="K11" si="3">J11/I11</f>
        <v>1</v>
      </c>
      <c r="L11" s="6">
        <f>K11-K10</f>
        <v>0.1428571428571429</v>
      </c>
    </row>
    <row r="12" spans="1:16" x14ac:dyDescent="0.2">
      <c r="A12" s="2">
        <v>43784</v>
      </c>
      <c r="B12" s="2">
        <v>43787</v>
      </c>
      <c r="C12" s="16" t="s">
        <v>25</v>
      </c>
      <c r="D12" t="s">
        <v>12</v>
      </c>
      <c r="E12" t="s">
        <v>23</v>
      </c>
      <c r="F12">
        <v>75</v>
      </c>
      <c r="H12">
        <v>3</v>
      </c>
      <c r="I12">
        <v>35</v>
      </c>
      <c r="J12">
        <v>3</v>
      </c>
      <c r="K12" s="3">
        <f>J12/I12</f>
        <v>8.5714285714285715E-2</v>
      </c>
      <c r="L12" s="5"/>
    </row>
    <row r="13" spans="1:16" x14ac:dyDescent="0.2">
      <c r="A13" s="2">
        <v>43784</v>
      </c>
      <c r="B13" s="2">
        <v>43787</v>
      </c>
      <c r="C13" s="16" t="s">
        <v>25</v>
      </c>
      <c r="D13" t="s">
        <v>12</v>
      </c>
      <c r="E13" t="s">
        <v>23</v>
      </c>
      <c r="F13">
        <v>75</v>
      </c>
      <c r="G13">
        <v>400</v>
      </c>
      <c r="H13">
        <v>3</v>
      </c>
      <c r="I13">
        <v>35</v>
      </c>
      <c r="J13">
        <v>35</v>
      </c>
      <c r="K13" s="3">
        <f t="shared" ref="K13" si="4">J13/I13</f>
        <v>1</v>
      </c>
      <c r="L13" s="6">
        <f>K13-K12</f>
        <v>0.91428571428571426</v>
      </c>
    </row>
    <row r="14" spans="1:16" x14ac:dyDescent="0.2">
      <c r="A14" s="2">
        <v>43784</v>
      </c>
      <c r="B14" s="2">
        <v>43787</v>
      </c>
      <c r="C14" s="16" t="s">
        <v>26</v>
      </c>
      <c r="D14" t="s">
        <v>12</v>
      </c>
      <c r="E14" t="s">
        <v>23</v>
      </c>
      <c r="F14">
        <v>50</v>
      </c>
      <c r="H14">
        <v>3</v>
      </c>
      <c r="I14">
        <v>43</v>
      </c>
      <c r="J14">
        <v>0</v>
      </c>
      <c r="K14" s="3">
        <f>J14/I14</f>
        <v>0</v>
      </c>
      <c r="L14" s="5"/>
    </row>
    <row r="15" spans="1:16" x14ac:dyDescent="0.2">
      <c r="A15" s="2">
        <v>43784</v>
      </c>
      <c r="B15" s="2">
        <v>43787</v>
      </c>
      <c r="C15" s="16" t="s">
        <v>26</v>
      </c>
      <c r="D15" t="s">
        <v>12</v>
      </c>
      <c r="E15" t="s">
        <v>23</v>
      </c>
      <c r="F15">
        <v>50</v>
      </c>
      <c r="G15">
        <v>400</v>
      </c>
      <c r="H15">
        <v>3</v>
      </c>
      <c r="I15">
        <v>46</v>
      </c>
      <c r="J15">
        <v>20</v>
      </c>
      <c r="K15" s="3">
        <f t="shared" ref="K15" si="5">J15/I15</f>
        <v>0.43478260869565216</v>
      </c>
      <c r="L15" s="6">
        <f>K15-K14</f>
        <v>0.43478260869565216</v>
      </c>
    </row>
    <row r="16" spans="1:16" x14ac:dyDescent="0.2">
      <c r="A16" s="2">
        <v>43784</v>
      </c>
      <c r="B16" s="2">
        <v>43787</v>
      </c>
      <c r="C16" s="16" t="s">
        <v>26</v>
      </c>
      <c r="D16" t="s">
        <v>12</v>
      </c>
      <c r="E16" t="s">
        <v>23</v>
      </c>
      <c r="F16">
        <v>75</v>
      </c>
      <c r="H16">
        <v>3</v>
      </c>
      <c r="I16">
        <v>39</v>
      </c>
      <c r="J16">
        <v>0</v>
      </c>
      <c r="K16" s="3">
        <f>J16/I16</f>
        <v>0</v>
      </c>
      <c r="L16" s="5"/>
    </row>
    <row r="17" spans="1:12" x14ac:dyDescent="0.2">
      <c r="A17" s="2">
        <v>43784</v>
      </c>
      <c r="B17" s="2">
        <v>43787</v>
      </c>
      <c r="C17" s="16" t="s">
        <v>26</v>
      </c>
      <c r="D17" t="s">
        <v>12</v>
      </c>
      <c r="E17" t="s">
        <v>23</v>
      </c>
      <c r="F17">
        <v>75</v>
      </c>
      <c r="G17">
        <v>400</v>
      </c>
      <c r="H17">
        <v>3</v>
      </c>
      <c r="I17">
        <v>25</v>
      </c>
      <c r="J17">
        <v>0</v>
      </c>
      <c r="K17" s="3">
        <f t="shared" ref="K17" si="6">J17/I17</f>
        <v>0</v>
      </c>
      <c r="L17" s="6">
        <f>K17-K16</f>
        <v>0</v>
      </c>
    </row>
    <row r="18" spans="1:12" x14ac:dyDescent="0.2">
      <c r="A18" s="2">
        <v>43784</v>
      </c>
      <c r="B18" s="2">
        <v>43787</v>
      </c>
      <c r="C18" s="16" t="s">
        <v>27</v>
      </c>
      <c r="D18" t="s">
        <v>12</v>
      </c>
      <c r="E18" t="s">
        <v>23</v>
      </c>
      <c r="F18">
        <v>50</v>
      </c>
      <c r="H18">
        <v>3</v>
      </c>
      <c r="I18">
        <v>70</v>
      </c>
      <c r="J18">
        <v>0</v>
      </c>
      <c r="K18" s="3">
        <f>J18/I18</f>
        <v>0</v>
      </c>
      <c r="L18" s="5"/>
    </row>
    <row r="19" spans="1:12" x14ac:dyDescent="0.2">
      <c r="A19" s="2">
        <v>43784</v>
      </c>
      <c r="B19" s="2">
        <v>43787</v>
      </c>
      <c r="C19" s="16" t="s">
        <v>27</v>
      </c>
      <c r="D19" t="s">
        <v>12</v>
      </c>
      <c r="E19" t="s">
        <v>23</v>
      </c>
      <c r="F19">
        <v>50</v>
      </c>
      <c r="G19">
        <v>400</v>
      </c>
      <c r="H19">
        <v>3</v>
      </c>
      <c r="I19">
        <v>77</v>
      </c>
      <c r="J19">
        <v>0</v>
      </c>
      <c r="K19" s="3">
        <f t="shared" ref="K19" si="7">J19/I19</f>
        <v>0</v>
      </c>
      <c r="L19" s="6">
        <f>K19-K18</f>
        <v>0</v>
      </c>
    </row>
    <row r="20" spans="1:12" x14ac:dyDescent="0.2">
      <c r="A20" s="2">
        <v>43784</v>
      </c>
      <c r="B20" s="2">
        <v>43787</v>
      </c>
      <c r="C20" s="16" t="s">
        <v>27</v>
      </c>
      <c r="D20" t="s">
        <v>12</v>
      </c>
      <c r="E20" t="s">
        <v>23</v>
      </c>
      <c r="F20">
        <v>75</v>
      </c>
      <c r="H20">
        <v>3</v>
      </c>
      <c r="I20">
        <v>83</v>
      </c>
      <c r="J20">
        <v>0</v>
      </c>
      <c r="K20" s="3">
        <f>J20/I20</f>
        <v>0</v>
      </c>
      <c r="L20" s="5"/>
    </row>
    <row r="21" spans="1:12" x14ac:dyDescent="0.2">
      <c r="A21" s="2">
        <v>43784</v>
      </c>
      <c r="B21" s="2">
        <v>43787</v>
      </c>
      <c r="C21" s="16" t="s">
        <v>27</v>
      </c>
      <c r="D21" t="s">
        <v>12</v>
      </c>
      <c r="E21" t="s">
        <v>23</v>
      </c>
      <c r="F21">
        <v>75</v>
      </c>
      <c r="G21">
        <v>400</v>
      </c>
      <c r="H21">
        <v>3</v>
      </c>
      <c r="I21">
        <v>96</v>
      </c>
      <c r="J21">
        <v>0</v>
      </c>
      <c r="K21" s="3">
        <f t="shared" ref="K21" si="8">J21/I21</f>
        <v>0</v>
      </c>
      <c r="L21" s="6">
        <f>K21-K20</f>
        <v>0</v>
      </c>
    </row>
    <row r="22" spans="1:12" x14ac:dyDescent="0.2">
      <c r="A22" s="2">
        <v>43784</v>
      </c>
      <c r="B22" s="2">
        <v>43787</v>
      </c>
      <c r="C22" s="16" t="s">
        <v>28</v>
      </c>
      <c r="D22" t="s">
        <v>12</v>
      </c>
      <c r="E22" t="s">
        <v>23</v>
      </c>
      <c r="F22">
        <v>50</v>
      </c>
      <c r="H22">
        <v>3</v>
      </c>
      <c r="I22">
        <v>30</v>
      </c>
      <c r="J22">
        <v>0</v>
      </c>
      <c r="K22" s="3">
        <f>J22/I22</f>
        <v>0</v>
      </c>
      <c r="L22" s="5"/>
    </row>
    <row r="23" spans="1:12" x14ac:dyDescent="0.2">
      <c r="A23" s="2">
        <v>43784</v>
      </c>
      <c r="B23" s="2">
        <v>43787</v>
      </c>
      <c r="C23" s="16" t="s">
        <v>28</v>
      </c>
      <c r="D23" t="s">
        <v>12</v>
      </c>
      <c r="E23" t="s">
        <v>23</v>
      </c>
      <c r="F23">
        <v>50</v>
      </c>
      <c r="G23">
        <v>400</v>
      </c>
      <c r="H23">
        <v>3</v>
      </c>
      <c r="I23">
        <v>38</v>
      </c>
      <c r="J23">
        <v>13</v>
      </c>
      <c r="K23" s="3">
        <f t="shared" ref="K23" si="9">J23/I23</f>
        <v>0.34210526315789475</v>
      </c>
      <c r="L23" s="6">
        <f>K23-K22</f>
        <v>0.34210526315789475</v>
      </c>
    </row>
    <row r="24" spans="1:12" x14ac:dyDescent="0.2">
      <c r="A24" s="2">
        <v>43784</v>
      </c>
      <c r="B24" s="2">
        <v>43787</v>
      </c>
      <c r="C24" s="16" t="s">
        <v>28</v>
      </c>
      <c r="D24" t="s">
        <v>12</v>
      </c>
      <c r="E24" t="s">
        <v>23</v>
      </c>
      <c r="F24">
        <v>75</v>
      </c>
      <c r="H24">
        <v>3</v>
      </c>
      <c r="I24">
        <v>22</v>
      </c>
      <c r="J24">
        <v>0</v>
      </c>
      <c r="K24" s="3">
        <f>J24/I24</f>
        <v>0</v>
      </c>
      <c r="L24" s="5"/>
    </row>
    <row r="25" spans="1:12" x14ac:dyDescent="0.2">
      <c r="A25" s="2">
        <v>43784</v>
      </c>
      <c r="B25" s="2">
        <v>43787</v>
      </c>
      <c r="C25" s="16" t="s">
        <v>28</v>
      </c>
      <c r="D25" t="s">
        <v>12</v>
      </c>
      <c r="E25" t="s">
        <v>23</v>
      </c>
      <c r="F25">
        <v>75</v>
      </c>
      <c r="G25">
        <v>400</v>
      </c>
      <c r="H25">
        <v>3</v>
      </c>
      <c r="I25">
        <v>26</v>
      </c>
      <c r="J25">
        <v>6</v>
      </c>
      <c r="K25" s="3">
        <f t="shared" ref="K25" si="10">J25/I25</f>
        <v>0.23076923076923078</v>
      </c>
      <c r="L25" s="6">
        <f>K25-K24</f>
        <v>0.23076923076923078</v>
      </c>
    </row>
    <row r="26" spans="1:12" x14ac:dyDescent="0.2">
      <c r="A26" s="2">
        <v>43784</v>
      </c>
      <c r="B26" s="2">
        <v>43787</v>
      </c>
      <c r="C26" s="16" t="s">
        <v>29</v>
      </c>
      <c r="D26" t="s">
        <v>12</v>
      </c>
      <c r="E26" t="s">
        <v>23</v>
      </c>
      <c r="F26">
        <v>50</v>
      </c>
      <c r="H26">
        <v>3</v>
      </c>
      <c r="I26">
        <v>39</v>
      </c>
      <c r="J26">
        <v>0</v>
      </c>
      <c r="K26" s="3">
        <f>J26/I26</f>
        <v>0</v>
      </c>
      <c r="L26" s="5"/>
    </row>
    <row r="27" spans="1:12" x14ac:dyDescent="0.2">
      <c r="A27" s="2">
        <v>43784</v>
      </c>
      <c r="B27" s="2">
        <v>43787</v>
      </c>
      <c r="C27" s="16" t="s">
        <v>29</v>
      </c>
      <c r="D27" t="s">
        <v>12</v>
      </c>
      <c r="E27" t="s">
        <v>23</v>
      </c>
      <c r="F27">
        <v>50</v>
      </c>
      <c r="G27">
        <v>400</v>
      </c>
      <c r="H27">
        <v>3</v>
      </c>
      <c r="I27">
        <v>38</v>
      </c>
      <c r="J27">
        <v>0</v>
      </c>
      <c r="K27" s="3">
        <f t="shared" ref="K27" si="11">J27/I27</f>
        <v>0</v>
      </c>
      <c r="L27" s="6">
        <f>K27-K26</f>
        <v>0</v>
      </c>
    </row>
    <row r="28" spans="1:12" x14ac:dyDescent="0.2">
      <c r="A28" s="2">
        <v>43784</v>
      </c>
      <c r="B28" s="2">
        <v>43787</v>
      </c>
      <c r="C28" s="16" t="s">
        <v>29</v>
      </c>
      <c r="D28" t="s">
        <v>12</v>
      </c>
      <c r="E28" t="s">
        <v>23</v>
      </c>
      <c r="F28">
        <v>75</v>
      </c>
      <c r="H28">
        <v>3</v>
      </c>
      <c r="I28">
        <v>38</v>
      </c>
      <c r="J28">
        <v>0</v>
      </c>
      <c r="K28" s="3">
        <f>J28/I28</f>
        <v>0</v>
      </c>
      <c r="L28" s="5"/>
    </row>
    <row r="29" spans="1:12" x14ac:dyDescent="0.2">
      <c r="A29" s="2">
        <v>43784</v>
      </c>
      <c r="B29" s="2">
        <v>43787</v>
      </c>
      <c r="C29" s="16" t="s">
        <v>29</v>
      </c>
      <c r="D29" t="s">
        <v>12</v>
      </c>
      <c r="E29" t="s">
        <v>23</v>
      </c>
      <c r="F29">
        <v>75</v>
      </c>
      <c r="G29">
        <v>400</v>
      </c>
      <c r="H29">
        <v>3</v>
      </c>
      <c r="I29">
        <v>31</v>
      </c>
      <c r="J29">
        <v>0</v>
      </c>
      <c r="K29" s="3">
        <f t="shared" ref="K29" si="12">J29/I29</f>
        <v>0</v>
      </c>
      <c r="L29" s="6">
        <f>K29-K28</f>
        <v>0</v>
      </c>
    </row>
    <row r="30" spans="1:12" x14ac:dyDescent="0.2">
      <c r="A30" s="2">
        <v>43784</v>
      </c>
      <c r="B30" s="2">
        <v>43787</v>
      </c>
      <c r="C30" s="16" t="s">
        <v>30</v>
      </c>
      <c r="D30" t="s">
        <v>12</v>
      </c>
      <c r="E30" t="s">
        <v>23</v>
      </c>
      <c r="F30">
        <v>50</v>
      </c>
      <c r="H30">
        <v>3</v>
      </c>
      <c r="I30">
        <v>34</v>
      </c>
      <c r="J30">
        <v>10</v>
      </c>
      <c r="K30" s="3">
        <f>J30/I30</f>
        <v>0.29411764705882354</v>
      </c>
      <c r="L30" s="5"/>
    </row>
    <row r="31" spans="1:12" x14ac:dyDescent="0.2">
      <c r="A31" s="2">
        <v>43784</v>
      </c>
      <c r="B31" s="2">
        <v>43787</v>
      </c>
      <c r="C31" s="16" t="s">
        <v>30</v>
      </c>
      <c r="D31" t="s">
        <v>12</v>
      </c>
      <c r="E31" t="s">
        <v>23</v>
      </c>
      <c r="F31">
        <v>50</v>
      </c>
      <c r="G31">
        <v>400</v>
      </c>
      <c r="H31">
        <v>3</v>
      </c>
      <c r="I31">
        <v>29</v>
      </c>
      <c r="J31">
        <v>25</v>
      </c>
      <c r="K31" s="3">
        <f t="shared" ref="K31" si="13">J31/I31</f>
        <v>0.86206896551724133</v>
      </c>
      <c r="L31" s="6">
        <f>K31-K30</f>
        <v>0.56795131845841773</v>
      </c>
    </row>
    <row r="32" spans="1:12" x14ac:dyDescent="0.2">
      <c r="A32" s="2">
        <v>43784</v>
      </c>
      <c r="B32" s="2">
        <v>43787</v>
      </c>
      <c r="C32" s="16" t="s">
        <v>30</v>
      </c>
      <c r="D32" t="s">
        <v>12</v>
      </c>
      <c r="E32" t="s">
        <v>23</v>
      </c>
      <c r="F32">
        <v>75</v>
      </c>
      <c r="H32">
        <v>3</v>
      </c>
      <c r="I32">
        <v>32</v>
      </c>
      <c r="J32">
        <v>32</v>
      </c>
      <c r="K32" s="3">
        <f>J32/I32</f>
        <v>1</v>
      </c>
      <c r="L32" s="5"/>
    </row>
    <row r="33" spans="1:16" x14ac:dyDescent="0.2">
      <c r="A33" s="2">
        <v>43784</v>
      </c>
      <c r="B33" s="2">
        <v>43787</v>
      </c>
      <c r="C33" s="16" t="s">
        <v>30</v>
      </c>
      <c r="D33" t="s">
        <v>12</v>
      </c>
      <c r="E33" t="s">
        <v>23</v>
      </c>
      <c r="F33">
        <v>75</v>
      </c>
      <c r="G33">
        <v>400</v>
      </c>
      <c r="H33">
        <v>3</v>
      </c>
      <c r="I33">
        <v>33</v>
      </c>
      <c r="J33">
        <v>31</v>
      </c>
      <c r="K33" s="3">
        <f t="shared" ref="K33" si="14">J33/I33</f>
        <v>0.93939393939393945</v>
      </c>
      <c r="L33" s="6">
        <f>K33-K32</f>
        <v>-6.0606060606060552E-2</v>
      </c>
    </row>
    <row r="34" spans="1:16" x14ac:dyDescent="0.2">
      <c r="A34" s="2">
        <v>43784</v>
      </c>
      <c r="B34" s="2">
        <v>43787</v>
      </c>
      <c r="C34" s="16" t="s">
        <v>31</v>
      </c>
      <c r="D34" t="s">
        <v>12</v>
      </c>
      <c r="E34" t="s">
        <v>23</v>
      </c>
      <c r="F34">
        <v>50</v>
      </c>
      <c r="H34">
        <v>3</v>
      </c>
      <c r="I34">
        <v>38</v>
      </c>
      <c r="J34">
        <v>0</v>
      </c>
      <c r="K34" s="3">
        <f>J34/I34</f>
        <v>0</v>
      </c>
      <c r="L34" s="5"/>
    </row>
    <row r="35" spans="1:16" x14ac:dyDescent="0.2">
      <c r="A35" s="2">
        <v>43784</v>
      </c>
      <c r="B35" s="2">
        <v>43787</v>
      </c>
      <c r="C35" s="16" t="s">
        <v>31</v>
      </c>
      <c r="D35" t="s">
        <v>12</v>
      </c>
      <c r="E35" t="s">
        <v>23</v>
      </c>
      <c r="F35">
        <v>50</v>
      </c>
      <c r="G35">
        <v>400</v>
      </c>
      <c r="H35">
        <v>3</v>
      </c>
      <c r="I35">
        <v>20</v>
      </c>
      <c r="J35">
        <v>5</v>
      </c>
      <c r="K35" s="3">
        <f t="shared" ref="K35" si="15">J35/I35</f>
        <v>0.25</v>
      </c>
      <c r="L35" s="6">
        <f>K35-K34</f>
        <v>0.25</v>
      </c>
    </row>
    <row r="36" spans="1:16" x14ac:dyDescent="0.2">
      <c r="A36" s="2">
        <v>43784</v>
      </c>
      <c r="B36" s="2">
        <v>43787</v>
      </c>
      <c r="C36" s="16" t="s">
        <v>31</v>
      </c>
      <c r="D36" t="s">
        <v>12</v>
      </c>
      <c r="E36" t="s">
        <v>23</v>
      </c>
      <c r="F36">
        <v>75</v>
      </c>
      <c r="H36">
        <v>3</v>
      </c>
      <c r="I36">
        <v>41</v>
      </c>
      <c r="J36">
        <v>1</v>
      </c>
      <c r="K36" s="3">
        <f>J36/I36</f>
        <v>2.4390243902439025E-2</v>
      </c>
      <c r="L36" s="5"/>
    </row>
    <row r="37" spans="1:16" x14ac:dyDescent="0.2">
      <c r="A37" s="2">
        <v>43784</v>
      </c>
      <c r="B37" s="2">
        <v>43787</v>
      </c>
      <c r="C37" s="16" t="s">
        <v>31</v>
      </c>
      <c r="D37" t="s">
        <v>12</v>
      </c>
      <c r="E37" t="s">
        <v>23</v>
      </c>
      <c r="F37">
        <v>75</v>
      </c>
      <c r="G37">
        <v>400</v>
      </c>
      <c r="H37">
        <v>3</v>
      </c>
      <c r="I37">
        <v>35</v>
      </c>
      <c r="J37">
        <v>1</v>
      </c>
      <c r="K37" s="3">
        <f t="shared" ref="K37" si="16">J37/I37</f>
        <v>2.8571428571428571E-2</v>
      </c>
      <c r="L37" s="6">
        <f>K37-K36</f>
        <v>4.1811846689895453E-3</v>
      </c>
    </row>
    <row r="41" spans="1:16" x14ac:dyDescent="0.2">
      <c r="A41" t="s">
        <v>17</v>
      </c>
    </row>
    <row r="42" spans="1:16" ht="119" x14ac:dyDescent="0.2">
      <c r="A42" s="10" t="s">
        <v>0</v>
      </c>
      <c r="B42" s="10" t="s">
        <v>1</v>
      </c>
      <c r="C42" s="10" t="s">
        <v>2</v>
      </c>
      <c r="D42" s="10" t="s">
        <v>3</v>
      </c>
      <c r="E42" s="10" t="s">
        <v>4</v>
      </c>
      <c r="F42" s="10" t="s">
        <v>5</v>
      </c>
      <c r="G42" s="10" t="s">
        <v>6</v>
      </c>
      <c r="H42" s="10" t="s">
        <v>7</v>
      </c>
      <c r="I42" s="10" t="s">
        <v>8</v>
      </c>
      <c r="J42" s="10" t="s">
        <v>9</v>
      </c>
      <c r="K42" s="10" t="s">
        <v>10</v>
      </c>
    </row>
    <row r="43" spans="1:16" x14ac:dyDescent="0.2">
      <c r="A43" s="2">
        <v>43784</v>
      </c>
      <c r="B43" s="2">
        <v>43787</v>
      </c>
      <c r="C43">
        <v>796</v>
      </c>
      <c r="D43" t="s">
        <v>12</v>
      </c>
      <c r="E43" t="s">
        <v>23</v>
      </c>
      <c r="F43">
        <v>50</v>
      </c>
      <c r="G43">
        <v>400</v>
      </c>
      <c r="H43">
        <v>3</v>
      </c>
      <c r="I43">
        <v>34</v>
      </c>
      <c r="J43">
        <v>31</v>
      </c>
      <c r="K43" s="3">
        <f t="shared" ref="K43:K78" si="17">J43/I43</f>
        <v>0.91176470588235292</v>
      </c>
      <c r="P43" s="3"/>
    </row>
    <row r="44" spans="1:16" x14ac:dyDescent="0.2">
      <c r="A44" s="2">
        <v>43784</v>
      </c>
      <c r="B44" s="2">
        <v>43787</v>
      </c>
      <c r="C44">
        <v>796</v>
      </c>
      <c r="D44" t="s">
        <v>12</v>
      </c>
      <c r="E44" t="s">
        <v>23</v>
      </c>
      <c r="F44">
        <v>75</v>
      </c>
      <c r="G44">
        <v>400</v>
      </c>
      <c r="H44">
        <v>3</v>
      </c>
      <c r="I44">
        <v>25</v>
      </c>
      <c r="J44">
        <v>20</v>
      </c>
      <c r="K44" s="3">
        <f t="shared" si="17"/>
        <v>0.8</v>
      </c>
    </row>
    <row r="45" spans="1:16" x14ac:dyDescent="0.2">
      <c r="A45" s="2">
        <v>43784</v>
      </c>
      <c r="B45" s="2">
        <v>43787</v>
      </c>
      <c r="C45" s="16" t="s">
        <v>24</v>
      </c>
      <c r="D45" t="s">
        <v>12</v>
      </c>
      <c r="E45" t="s">
        <v>23</v>
      </c>
      <c r="F45">
        <v>50</v>
      </c>
      <c r="G45">
        <v>400</v>
      </c>
      <c r="H45">
        <v>3</v>
      </c>
      <c r="I45">
        <v>31</v>
      </c>
      <c r="J45">
        <v>31</v>
      </c>
      <c r="K45" s="3">
        <f t="shared" si="17"/>
        <v>1</v>
      </c>
    </row>
    <row r="46" spans="1:16" x14ac:dyDescent="0.2">
      <c r="A46" s="2">
        <v>43784</v>
      </c>
      <c r="B46" s="2">
        <v>43787</v>
      </c>
      <c r="C46" s="16" t="s">
        <v>24</v>
      </c>
      <c r="D46" t="s">
        <v>12</v>
      </c>
      <c r="E46" t="s">
        <v>23</v>
      </c>
      <c r="F46">
        <v>75</v>
      </c>
      <c r="G46">
        <v>400</v>
      </c>
      <c r="H46">
        <v>3</v>
      </c>
      <c r="I46">
        <v>40</v>
      </c>
      <c r="J46">
        <v>40</v>
      </c>
      <c r="K46" s="3">
        <f t="shared" si="17"/>
        <v>1</v>
      </c>
    </row>
    <row r="47" spans="1:16" x14ac:dyDescent="0.2">
      <c r="A47" s="2">
        <v>43784</v>
      </c>
      <c r="B47" s="2">
        <v>43787</v>
      </c>
      <c r="C47" s="16" t="s">
        <v>25</v>
      </c>
      <c r="D47" t="s">
        <v>12</v>
      </c>
      <c r="E47" t="s">
        <v>23</v>
      </c>
      <c r="F47">
        <v>50</v>
      </c>
      <c r="G47">
        <v>400</v>
      </c>
      <c r="H47">
        <v>3</v>
      </c>
      <c r="I47">
        <v>31</v>
      </c>
      <c r="J47">
        <v>31</v>
      </c>
      <c r="K47" s="3">
        <f t="shared" si="17"/>
        <v>1</v>
      </c>
    </row>
    <row r="48" spans="1:16" x14ac:dyDescent="0.2">
      <c r="A48" s="2">
        <v>43784</v>
      </c>
      <c r="B48" s="2">
        <v>43787</v>
      </c>
      <c r="C48" s="16" t="s">
        <v>25</v>
      </c>
      <c r="D48" t="s">
        <v>12</v>
      </c>
      <c r="E48" t="s">
        <v>23</v>
      </c>
      <c r="F48">
        <v>75</v>
      </c>
      <c r="G48">
        <v>400</v>
      </c>
      <c r="H48">
        <v>3</v>
      </c>
      <c r="I48">
        <v>35</v>
      </c>
      <c r="J48">
        <v>35</v>
      </c>
      <c r="K48" s="3">
        <f t="shared" si="17"/>
        <v>1</v>
      </c>
    </row>
    <row r="49" spans="1:11" x14ac:dyDescent="0.2">
      <c r="A49" s="2">
        <v>43784</v>
      </c>
      <c r="B49" s="2">
        <v>43787</v>
      </c>
      <c r="C49" s="16" t="s">
        <v>26</v>
      </c>
      <c r="D49" t="s">
        <v>12</v>
      </c>
      <c r="E49" t="s">
        <v>23</v>
      </c>
      <c r="F49">
        <v>50</v>
      </c>
      <c r="G49">
        <v>400</v>
      </c>
      <c r="H49">
        <v>3</v>
      </c>
      <c r="I49">
        <v>46</v>
      </c>
      <c r="J49">
        <v>20</v>
      </c>
      <c r="K49" s="3">
        <f t="shared" si="17"/>
        <v>0.43478260869565216</v>
      </c>
    </row>
    <row r="50" spans="1:11" x14ac:dyDescent="0.2">
      <c r="A50" s="2">
        <v>43784</v>
      </c>
      <c r="B50" s="2">
        <v>43787</v>
      </c>
      <c r="C50" s="16" t="s">
        <v>26</v>
      </c>
      <c r="D50" t="s">
        <v>12</v>
      </c>
      <c r="E50" t="s">
        <v>23</v>
      </c>
      <c r="F50">
        <v>75</v>
      </c>
      <c r="G50">
        <v>400</v>
      </c>
      <c r="H50">
        <v>3</v>
      </c>
      <c r="I50">
        <v>25</v>
      </c>
      <c r="J50">
        <v>0</v>
      </c>
      <c r="K50" s="3">
        <f t="shared" si="17"/>
        <v>0</v>
      </c>
    </row>
    <row r="51" spans="1:11" x14ac:dyDescent="0.2">
      <c r="A51" s="2">
        <v>43784</v>
      </c>
      <c r="B51" s="2">
        <v>43787</v>
      </c>
      <c r="C51" s="16" t="s">
        <v>27</v>
      </c>
      <c r="D51" t="s">
        <v>12</v>
      </c>
      <c r="E51" t="s">
        <v>23</v>
      </c>
      <c r="F51">
        <v>50</v>
      </c>
      <c r="G51">
        <v>400</v>
      </c>
      <c r="H51">
        <v>3</v>
      </c>
      <c r="I51">
        <v>77</v>
      </c>
      <c r="J51">
        <v>0</v>
      </c>
      <c r="K51" s="3">
        <f t="shared" si="17"/>
        <v>0</v>
      </c>
    </row>
    <row r="52" spans="1:11" x14ac:dyDescent="0.2">
      <c r="A52" s="2">
        <v>43784</v>
      </c>
      <c r="B52" s="2">
        <v>43787</v>
      </c>
      <c r="C52" s="16" t="s">
        <v>27</v>
      </c>
      <c r="D52" t="s">
        <v>12</v>
      </c>
      <c r="E52" t="s">
        <v>23</v>
      </c>
      <c r="F52">
        <v>75</v>
      </c>
      <c r="G52">
        <v>400</v>
      </c>
      <c r="H52">
        <v>3</v>
      </c>
      <c r="I52">
        <v>96</v>
      </c>
      <c r="J52">
        <v>0</v>
      </c>
      <c r="K52" s="3">
        <f t="shared" si="17"/>
        <v>0</v>
      </c>
    </row>
    <row r="53" spans="1:11" x14ac:dyDescent="0.2">
      <c r="A53" s="2">
        <v>43784</v>
      </c>
      <c r="B53" s="2">
        <v>43787</v>
      </c>
      <c r="C53" s="16" t="s">
        <v>28</v>
      </c>
      <c r="D53" t="s">
        <v>12</v>
      </c>
      <c r="E53" t="s">
        <v>23</v>
      </c>
      <c r="F53">
        <v>50</v>
      </c>
      <c r="G53">
        <v>400</v>
      </c>
      <c r="H53">
        <v>3</v>
      </c>
      <c r="I53">
        <v>38</v>
      </c>
      <c r="J53">
        <v>13</v>
      </c>
      <c r="K53" s="3">
        <f t="shared" si="17"/>
        <v>0.34210526315789475</v>
      </c>
    </row>
    <row r="54" spans="1:11" x14ac:dyDescent="0.2">
      <c r="A54" s="2">
        <v>43784</v>
      </c>
      <c r="B54" s="2">
        <v>43787</v>
      </c>
      <c r="C54" s="16" t="s">
        <v>28</v>
      </c>
      <c r="D54" t="s">
        <v>12</v>
      </c>
      <c r="E54" t="s">
        <v>23</v>
      </c>
      <c r="F54">
        <v>75</v>
      </c>
      <c r="G54">
        <v>400</v>
      </c>
      <c r="H54">
        <v>3</v>
      </c>
      <c r="I54">
        <v>26</v>
      </c>
      <c r="J54">
        <v>6</v>
      </c>
      <c r="K54" s="3">
        <f t="shared" si="17"/>
        <v>0.23076923076923078</v>
      </c>
    </row>
    <row r="55" spans="1:11" x14ac:dyDescent="0.2">
      <c r="A55" s="2">
        <v>43784</v>
      </c>
      <c r="B55" s="2">
        <v>43787</v>
      </c>
      <c r="C55" s="16" t="s">
        <v>29</v>
      </c>
      <c r="D55" t="s">
        <v>12</v>
      </c>
      <c r="E55" t="s">
        <v>23</v>
      </c>
      <c r="F55">
        <v>50</v>
      </c>
      <c r="G55">
        <v>400</v>
      </c>
      <c r="H55">
        <v>3</v>
      </c>
      <c r="I55">
        <v>38</v>
      </c>
      <c r="J55">
        <v>0</v>
      </c>
      <c r="K55" s="3">
        <f t="shared" si="17"/>
        <v>0</v>
      </c>
    </row>
    <row r="56" spans="1:11" x14ac:dyDescent="0.2">
      <c r="A56" s="2">
        <v>43784</v>
      </c>
      <c r="B56" s="2">
        <v>43787</v>
      </c>
      <c r="C56" s="16" t="s">
        <v>29</v>
      </c>
      <c r="D56" t="s">
        <v>12</v>
      </c>
      <c r="E56" t="s">
        <v>23</v>
      </c>
      <c r="F56">
        <v>75</v>
      </c>
      <c r="G56">
        <v>400</v>
      </c>
      <c r="H56">
        <v>3</v>
      </c>
      <c r="I56">
        <v>31</v>
      </c>
      <c r="J56">
        <v>0</v>
      </c>
      <c r="K56" s="3">
        <f t="shared" si="17"/>
        <v>0</v>
      </c>
    </row>
    <row r="57" spans="1:11" x14ac:dyDescent="0.2">
      <c r="A57" s="2">
        <v>43784</v>
      </c>
      <c r="B57" s="2">
        <v>43787</v>
      </c>
      <c r="C57" s="16" t="s">
        <v>30</v>
      </c>
      <c r="D57" t="s">
        <v>12</v>
      </c>
      <c r="E57" t="s">
        <v>23</v>
      </c>
      <c r="F57">
        <v>50</v>
      </c>
      <c r="G57">
        <v>400</v>
      </c>
      <c r="H57">
        <v>3</v>
      </c>
      <c r="I57">
        <v>29</v>
      </c>
      <c r="J57">
        <v>25</v>
      </c>
      <c r="K57" s="3">
        <f t="shared" si="17"/>
        <v>0.86206896551724133</v>
      </c>
    </row>
    <row r="58" spans="1:11" x14ac:dyDescent="0.2">
      <c r="A58" s="2">
        <v>43784</v>
      </c>
      <c r="B58" s="2">
        <v>43787</v>
      </c>
      <c r="C58" s="16" t="s">
        <v>30</v>
      </c>
      <c r="D58" t="s">
        <v>12</v>
      </c>
      <c r="E58" t="s">
        <v>23</v>
      </c>
      <c r="F58">
        <v>75</v>
      </c>
      <c r="G58">
        <v>400</v>
      </c>
      <c r="H58">
        <v>3</v>
      </c>
      <c r="I58">
        <v>33</v>
      </c>
      <c r="J58">
        <v>31</v>
      </c>
      <c r="K58" s="3">
        <f t="shared" si="17"/>
        <v>0.93939393939393945</v>
      </c>
    </row>
    <row r="59" spans="1:11" x14ac:dyDescent="0.2">
      <c r="A59" s="2">
        <v>43784</v>
      </c>
      <c r="B59" s="2">
        <v>43787</v>
      </c>
      <c r="C59" s="16" t="s">
        <v>31</v>
      </c>
      <c r="D59" t="s">
        <v>12</v>
      </c>
      <c r="E59" t="s">
        <v>23</v>
      </c>
      <c r="F59">
        <v>50</v>
      </c>
      <c r="G59">
        <v>400</v>
      </c>
      <c r="H59">
        <v>3</v>
      </c>
      <c r="I59">
        <v>20</v>
      </c>
      <c r="J59">
        <v>5</v>
      </c>
      <c r="K59" s="3">
        <f t="shared" si="17"/>
        <v>0.25</v>
      </c>
    </row>
    <row r="60" spans="1:11" x14ac:dyDescent="0.2">
      <c r="A60" s="2">
        <v>43784</v>
      </c>
      <c r="B60" s="2">
        <v>43787</v>
      </c>
      <c r="C60" s="16" t="s">
        <v>31</v>
      </c>
      <c r="D60" t="s">
        <v>12</v>
      </c>
      <c r="E60" t="s">
        <v>23</v>
      </c>
      <c r="F60">
        <v>75</v>
      </c>
      <c r="G60">
        <v>400</v>
      </c>
      <c r="H60">
        <v>3</v>
      </c>
      <c r="I60">
        <v>35</v>
      </c>
      <c r="J60">
        <v>1</v>
      </c>
      <c r="K60" s="3">
        <f t="shared" si="17"/>
        <v>2.8571428571428571E-2</v>
      </c>
    </row>
    <row r="61" spans="1:11" x14ac:dyDescent="0.2">
      <c r="A61" s="2">
        <v>43784</v>
      </c>
      <c r="B61" s="2">
        <v>43787</v>
      </c>
      <c r="C61">
        <v>796</v>
      </c>
      <c r="D61" t="s">
        <v>12</v>
      </c>
      <c r="E61" t="s">
        <v>23</v>
      </c>
      <c r="F61">
        <v>50</v>
      </c>
      <c r="H61">
        <v>3</v>
      </c>
      <c r="I61">
        <v>34</v>
      </c>
      <c r="J61">
        <v>20</v>
      </c>
      <c r="K61" s="3">
        <f t="shared" si="17"/>
        <v>0.58823529411764708</v>
      </c>
    </row>
    <row r="62" spans="1:11" x14ac:dyDescent="0.2">
      <c r="A62" s="2">
        <v>43784</v>
      </c>
      <c r="B62" s="2">
        <v>43787</v>
      </c>
      <c r="C62">
        <v>796</v>
      </c>
      <c r="D62" t="s">
        <v>12</v>
      </c>
      <c r="E62" t="s">
        <v>23</v>
      </c>
      <c r="F62">
        <v>75</v>
      </c>
      <c r="H62">
        <v>3</v>
      </c>
      <c r="I62">
        <v>34</v>
      </c>
      <c r="J62">
        <v>26</v>
      </c>
      <c r="K62" s="3">
        <f t="shared" si="17"/>
        <v>0.76470588235294112</v>
      </c>
    </row>
    <row r="63" spans="1:11" x14ac:dyDescent="0.2">
      <c r="A63" s="2">
        <v>43784</v>
      </c>
      <c r="B63" s="2">
        <v>43787</v>
      </c>
      <c r="C63" s="16" t="s">
        <v>24</v>
      </c>
      <c r="D63" t="s">
        <v>12</v>
      </c>
      <c r="E63" t="s">
        <v>23</v>
      </c>
      <c r="F63">
        <v>50</v>
      </c>
      <c r="H63">
        <v>3</v>
      </c>
      <c r="I63">
        <v>30</v>
      </c>
      <c r="J63">
        <v>30</v>
      </c>
      <c r="K63" s="3">
        <f t="shared" si="17"/>
        <v>1</v>
      </c>
    </row>
    <row r="64" spans="1:11" x14ac:dyDescent="0.2">
      <c r="A64" s="2">
        <v>43784</v>
      </c>
      <c r="B64" s="2">
        <v>43787</v>
      </c>
      <c r="C64" s="16" t="s">
        <v>24</v>
      </c>
      <c r="D64" t="s">
        <v>12</v>
      </c>
      <c r="E64" t="s">
        <v>23</v>
      </c>
      <c r="F64">
        <v>75</v>
      </c>
      <c r="H64">
        <v>3</v>
      </c>
      <c r="I64">
        <v>30</v>
      </c>
      <c r="J64">
        <v>30</v>
      </c>
      <c r="K64" s="3">
        <f t="shared" si="17"/>
        <v>1</v>
      </c>
    </row>
    <row r="65" spans="1:11" x14ac:dyDescent="0.2">
      <c r="A65" s="2">
        <v>43784</v>
      </c>
      <c r="B65" s="2">
        <v>43787</v>
      </c>
      <c r="C65" s="16" t="s">
        <v>25</v>
      </c>
      <c r="D65" t="s">
        <v>12</v>
      </c>
      <c r="E65" t="s">
        <v>23</v>
      </c>
      <c r="F65">
        <v>50</v>
      </c>
      <c r="H65">
        <v>3</v>
      </c>
      <c r="I65">
        <v>35</v>
      </c>
      <c r="J65">
        <v>30</v>
      </c>
      <c r="K65" s="3">
        <f t="shared" si="17"/>
        <v>0.8571428571428571</v>
      </c>
    </row>
    <row r="66" spans="1:11" x14ac:dyDescent="0.2">
      <c r="A66" s="2">
        <v>43784</v>
      </c>
      <c r="B66" s="2">
        <v>43787</v>
      </c>
      <c r="C66" s="16" t="s">
        <v>25</v>
      </c>
      <c r="D66" t="s">
        <v>12</v>
      </c>
      <c r="E66" t="s">
        <v>23</v>
      </c>
      <c r="F66">
        <v>75</v>
      </c>
      <c r="H66">
        <v>3</v>
      </c>
      <c r="I66">
        <v>35</v>
      </c>
      <c r="J66">
        <v>3</v>
      </c>
      <c r="K66" s="3">
        <f t="shared" si="17"/>
        <v>8.5714285714285715E-2</v>
      </c>
    </row>
    <row r="67" spans="1:11" x14ac:dyDescent="0.2">
      <c r="A67" s="2">
        <v>43784</v>
      </c>
      <c r="B67" s="2">
        <v>43787</v>
      </c>
      <c r="C67" s="16" t="s">
        <v>26</v>
      </c>
      <c r="D67" t="s">
        <v>12</v>
      </c>
      <c r="E67" t="s">
        <v>23</v>
      </c>
      <c r="F67">
        <v>50</v>
      </c>
      <c r="H67">
        <v>3</v>
      </c>
      <c r="I67">
        <v>43</v>
      </c>
      <c r="J67">
        <v>0</v>
      </c>
      <c r="K67" s="3">
        <f t="shared" si="17"/>
        <v>0</v>
      </c>
    </row>
    <row r="68" spans="1:11" x14ac:dyDescent="0.2">
      <c r="A68" s="2">
        <v>43784</v>
      </c>
      <c r="B68" s="2">
        <v>43787</v>
      </c>
      <c r="C68" s="16" t="s">
        <v>26</v>
      </c>
      <c r="D68" t="s">
        <v>12</v>
      </c>
      <c r="E68" t="s">
        <v>23</v>
      </c>
      <c r="F68">
        <v>75</v>
      </c>
      <c r="H68">
        <v>3</v>
      </c>
      <c r="I68">
        <v>39</v>
      </c>
      <c r="J68">
        <v>0</v>
      </c>
      <c r="K68" s="3">
        <f t="shared" si="17"/>
        <v>0</v>
      </c>
    </row>
    <row r="69" spans="1:11" x14ac:dyDescent="0.2">
      <c r="A69" s="2">
        <v>43784</v>
      </c>
      <c r="B69" s="2">
        <v>43787</v>
      </c>
      <c r="C69" s="16" t="s">
        <v>27</v>
      </c>
      <c r="D69" t="s">
        <v>12</v>
      </c>
      <c r="E69" t="s">
        <v>23</v>
      </c>
      <c r="F69">
        <v>50</v>
      </c>
      <c r="H69">
        <v>3</v>
      </c>
      <c r="I69">
        <v>70</v>
      </c>
      <c r="J69">
        <v>0</v>
      </c>
      <c r="K69" s="3">
        <f t="shared" si="17"/>
        <v>0</v>
      </c>
    </row>
    <row r="70" spans="1:11" x14ac:dyDescent="0.2">
      <c r="A70" s="2">
        <v>43784</v>
      </c>
      <c r="B70" s="2">
        <v>43787</v>
      </c>
      <c r="C70" s="16" t="s">
        <v>27</v>
      </c>
      <c r="D70" t="s">
        <v>12</v>
      </c>
      <c r="E70" t="s">
        <v>23</v>
      </c>
      <c r="F70">
        <v>75</v>
      </c>
      <c r="H70">
        <v>3</v>
      </c>
      <c r="I70">
        <v>83</v>
      </c>
      <c r="J70">
        <v>0</v>
      </c>
      <c r="K70" s="3">
        <f t="shared" si="17"/>
        <v>0</v>
      </c>
    </row>
    <row r="71" spans="1:11" x14ac:dyDescent="0.2">
      <c r="A71" s="2">
        <v>43784</v>
      </c>
      <c r="B71" s="2">
        <v>43787</v>
      </c>
      <c r="C71" s="16" t="s">
        <v>28</v>
      </c>
      <c r="D71" t="s">
        <v>12</v>
      </c>
      <c r="E71" t="s">
        <v>23</v>
      </c>
      <c r="F71">
        <v>50</v>
      </c>
      <c r="H71">
        <v>3</v>
      </c>
      <c r="I71">
        <v>30</v>
      </c>
      <c r="J71">
        <v>0</v>
      </c>
      <c r="K71" s="3">
        <f t="shared" si="17"/>
        <v>0</v>
      </c>
    </row>
    <row r="72" spans="1:11" x14ac:dyDescent="0.2">
      <c r="A72" s="2">
        <v>43784</v>
      </c>
      <c r="B72" s="2">
        <v>43787</v>
      </c>
      <c r="C72" s="16" t="s">
        <v>28</v>
      </c>
      <c r="D72" t="s">
        <v>12</v>
      </c>
      <c r="E72" t="s">
        <v>23</v>
      </c>
      <c r="F72">
        <v>75</v>
      </c>
      <c r="H72">
        <v>3</v>
      </c>
      <c r="I72">
        <v>22</v>
      </c>
      <c r="J72">
        <v>0</v>
      </c>
      <c r="K72" s="3">
        <f t="shared" si="17"/>
        <v>0</v>
      </c>
    </row>
    <row r="73" spans="1:11" x14ac:dyDescent="0.2">
      <c r="A73" s="2">
        <v>43784</v>
      </c>
      <c r="B73" s="2">
        <v>43787</v>
      </c>
      <c r="C73" s="16" t="s">
        <v>29</v>
      </c>
      <c r="D73" t="s">
        <v>12</v>
      </c>
      <c r="E73" t="s">
        <v>23</v>
      </c>
      <c r="F73">
        <v>50</v>
      </c>
      <c r="H73">
        <v>3</v>
      </c>
      <c r="I73">
        <v>39</v>
      </c>
      <c r="J73">
        <v>0</v>
      </c>
      <c r="K73" s="3">
        <f t="shared" si="17"/>
        <v>0</v>
      </c>
    </row>
    <row r="74" spans="1:11" x14ac:dyDescent="0.2">
      <c r="A74" s="2">
        <v>43784</v>
      </c>
      <c r="B74" s="2">
        <v>43787</v>
      </c>
      <c r="C74" s="16" t="s">
        <v>29</v>
      </c>
      <c r="D74" t="s">
        <v>12</v>
      </c>
      <c r="E74" t="s">
        <v>23</v>
      </c>
      <c r="F74">
        <v>75</v>
      </c>
      <c r="H74">
        <v>3</v>
      </c>
      <c r="I74">
        <v>38</v>
      </c>
      <c r="J74">
        <v>0</v>
      </c>
      <c r="K74" s="3">
        <f t="shared" si="17"/>
        <v>0</v>
      </c>
    </row>
    <row r="75" spans="1:11" x14ac:dyDescent="0.2">
      <c r="A75" s="2">
        <v>43784</v>
      </c>
      <c r="B75" s="2">
        <v>43787</v>
      </c>
      <c r="C75" s="16" t="s">
        <v>30</v>
      </c>
      <c r="D75" t="s">
        <v>12</v>
      </c>
      <c r="E75" t="s">
        <v>23</v>
      </c>
      <c r="F75">
        <v>50</v>
      </c>
      <c r="H75">
        <v>3</v>
      </c>
      <c r="I75">
        <v>34</v>
      </c>
      <c r="J75">
        <v>10</v>
      </c>
      <c r="K75" s="3">
        <f t="shared" si="17"/>
        <v>0.29411764705882354</v>
      </c>
    </row>
    <row r="76" spans="1:11" x14ac:dyDescent="0.2">
      <c r="A76" s="2">
        <v>43784</v>
      </c>
      <c r="B76" s="2">
        <v>43787</v>
      </c>
      <c r="C76" s="16" t="s">
        <v>30</v>
      </c>
      <c r="D76" t="s">
        <v>12</v>
      </c>
      <c r="E76" t="s">
        <v>23</v>
      </c>
      <c r="F76">
        <v>75</v>
      </c>
      <c r="H76">
        <v>3</v>
      </c>
      <c r="I76">
        <v>32</v>
      </c>
      <c r="J76">
        <v>32</v>
      </c>
      <c r="K76" s="3">
        <f t="shared" si="17"/>
        <v>1</v>
      </c>
    </row>
    <row r="77" spans="1:11" x14ac:dyDescent="0.2">
      <c r="A77" s="2">
        <v>43784</v>
      </c>
      <c r="B77" s="2">
        <v>43787</v>
      </c>
      <c r="C77" s="16" t="s">
        <v>31</v>
      </c>
      <c r="D77" t="s">
        <v>12</v>
      </c>
      <c r="E77" t="s">
        <v>23</v>
      </c>
      <c r="F77">
        <v>50</v>
      </c>
      <c r="H77">
        <v>3</v>
      </c>
      <c r="I77">
        <v>38</v>
      </c>
      <c r="J77">
        <v>0</v>
      </c>
      <c r="K77" s="3">
        <f t="shared" si="17"/>
        <v>0</v>
      </c>
    </row>
    <row r="78" spans="1:11" x14ac:dyDescent="0.2">
      <c r="A78" s="2">
        <v>43784</v>
      </c>
      <c r="B78" s="2">
        <v>43787</v>
      </c>
      <c r="C78" s="16" t="s">
        <v>31</v>
      </c>
      <c r="D78" t="s">
        <v>12</v>
      </c>
      <c r="E78" t="s">
        <v>23</v>
      </c>
      <c r="F78">
        <v>75</v>
      </c>
      <c r="H78">
        <v>3</v>
      </c>
      <c r="I78">
        <v>41</v>
      </c>
      <c r="J78">
        <v>1</v>
      </c>
      <c r="K78" s="3">
        <f t="shared" si="17"/>
        <v>2.4390243902439025E-2</v>
      </c>
    </row>
  </sheetData>
  <sortState xmlns:xlrd2="http://schemas.microsoft.com/office/spreadsheetml/2017/richdata2" ref="A43:K78">
    <sortCondition ref="G43:G78"/>
    <sortCondition ref="C43:C7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8400-BF8A-7E4F-A9E6-96D267618904}">
  <dimension ref="A1:L78"/>
  <sheetViews>
    <sheetView topLeftCell="A12" workbookViewId="0">
      <selection activeCell="P63" sqref="P63"/>
    </sheetView>
  </sheetViews>
  <sheetFormatPr baseColWidth="10" defaultColWidth="11" defaultRowHeight="16" x14ac:dyDescent="0.2"/>
  <sheetData>
    <row r="1" spans="1:12" ht="119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</row>
    <row r="2" spans="1:12" x14ac:dyDescent="0.2">
      <c r="A2" s="2">
        <v>43784</v>
      </c>
      <c r="B2" s="2">
        <v>43790</v>
      </c>
      <c r="C2">
        <v>796</v>
      </c>
      <c r="D2" t="s">
        <v>12</v>
      </c>
      <c r="E2" t="s">
        <v>23</v>
      </c>
      <c r="F2">
        <v>50</v>
      </c>
      <c r="H2">
        <v>6</v>
      </c>
      <c r="I2">
        <v>23</v>
      </c>
      <c r="J2">
        <v>23</v>
      </c>
      <c r="K2" s="3">
        <f>J2/I2</f>
        <v>1</v>
      </c>
      <c r="L2" s="5"/>
    </row>
    <row r="3" spans="1:12" x14ac:dyDescent="0.2">
      <c r="A3" s="2">
        <v>43784</v>
      </c>
      <c r="B3" s="2">
        <v>43790</v>
      </c>
      <c r="C3">
        <v>796</v>
      </c>
      <c r="D3" t="s">
        <v>12</v>
      </c>
      <c r="E3" t="s">
        <v>23</v>
      </c>
      <c r="F3">
        <v>50</v>
      </c>
      <c r="G3">
        <v>400</v>
      </c>
      <c r="H3">
        <v>6</v>
      </c>
      <c r="I3">
        <v>27</v>
      </c>
      <c r="J3">
        <v>27</v>
      </c>
      <c r="K3" s="3">
        <f t="shared" ref="K3" si="0">J3/I3</f>
        <v>1</v>
      </c>
      <c r="L3" s="6">
        <f>K3-K2</f>
        <v>0</v>
      </c>
    </row>
    <row r="4" spans="1:12" x14ac:dyDescent="0.2">
      <c r="A4" s="2">
        <v>43784</v>
      </c>
      <c r="B4" s="2">
        <v>43790</v>
      </c>
      <c r="C4">
        <v>796</v>
      </c>
      <c r="D4" t="s">
        <v>12</v>
      </c>
      <c r="E4" t="s">
        <v>23</v>
      </c>
      <c r="F4">
        <v>75</v>
      </c>
      <c r="H4">
        <v>6</v>
      </c>
      <c r="I4">
        <v>31</v>
      </c>
      <c r="J4">
        <v>31</v>
      </c>
      <c r="K4" s="3">
        <f>J4/I4</f>
        <v>1</v>
      </c>
      <c r="L4" s="5"/>
    </row>
    <row r="5" spans="1:12" x14ac:dyDescent="0.2">
      <c r="A5" s="2">
        <v>43784</v>
      </c>
      <c r="B5" s="2">
        <v>43790</v>
      </c>
      <c r="C5">
        <v>796</v>
      </c>
      <c r="D5" t="s">
        <v>12</v>
      </c>
      <c r="E5" t="s">
        <v>23</v>
      </c>
      <c r="F5">
        <v>75</v>
      </c>
      <c r="G5">
        <v>400</v>
      </c>
      <c r="H5">
        <v>6</v>
      </c>
      <c r="I5">
        <v>27</v>
      </c>
      <c r="J5">
        <v>27</v>
      </c>
      <c r="K5" s="3">
        <f t="shared" ref="K5" si="1">J5/I5</f>
        <v>1</v>
      </c>
      <c r="L5" s="6">
        <f>K5-K4</f>
        <v>0</v>
      </c>
    </row>
    <row r="6" spans="1:12" x14ac:dyDescent="0.2">
      <c r="A6" s="2">
        <v>43784</v>
      </c>
      <c r="B6" s="2">
        <v>43790</v>
      </c>
      <c r="C6" s="16" t="s">
        <v>24</v>
      </c>
      <c r="D6" t="s">
        <v>12</v>
      </c>
      <c r="E6" t="s">
        <v>23</v>
      </c>
      <c r="F6">
        <v>50</v>
      </c>
      <c r="H6">
        <v>6</v>
      </c>
      <c r="I6">
        <v>42</v>
      </c>
      <c r="J6">
        <v>42</v>
      </c>
      <c r="K6" s="3">
        <f>J6/I6</f>
        <v>1</v>
      </c>
      <c r="L6" s="5"/>
    </row>
    <row r="7" spans="1:12" x14ac:dyDescent="0.2">
      <c r="A7" s="2">
        <v>43784</v>
      </c>
      <c r="B7" s="2">
        <v>43790</v>
      </c>
      <c r="C7" s="16" t="s">
        <v>24</v>
      </c>
      <c r="D7" t="s">
        <v>12</v>
      </c>
      <c r="E7" t="s">
        <v>23</v>
      </c>
      <c r="F7">
        <v>50</v>
      </c>
      <c r="G7">
        <v>400</v>
      </c>
      <c r="H7">
        <v>6</v>
      </c>
      <c r="I7">
        <v>33</v>
      </c>
      <c r="J7">
        <v>33</v>
      </c>
      <c r="K7" s="3">
        <f t="shared" ref="K7" si="2">J7/I7</f>
        <v>1</v>
      </c>
      <c r="L7" s="6">
        <f>K7-K6</f>
        <v>0</v>
      </c>
    </row>
    <row r="8" spans="1:12" x14ac:dyDescent="0.2">
      <c r="A8" s="2">
        <v>43784</v>
      </c>
      <c r="B8" s="2">
        <v>43790</v>
      </c>
      <c r="C8" s="16" t="s">
        <v>24</v>
      </c>
      <c r="D8" t="s">
        <v>12</v>
      </c>
      <c r="E8" t="s">
        <v>23</v>
      </c>
      <c r="F8">
        <v>75</v>
      </c>
      <c r="H8">
        <v>6</v>
      </c>
      <c r="I8">
        <v>25</v>
      </c>
      <c r="J8">
        <v>25</v>
      </c>
      <c r="K8" s="3">
        <f>J8/I8</f>
        <v>1</v>
      </c>
      <c r="L8" s="5"/>
    </row>
    <row r="9" spans="1:12" x14ac:dyDescent="0.2">
      <c r="A9" s="2">
        <v>43784</v>
      </c>
      <c r="B9" s="2">
        <v>43790</v>
      </c>
      <c r="C9" s="16" t="s">
        <v>24</v>
      </c>
      <c r="D9" t="s">
        <v>12</v>
      </c>
      <c r="E9" t="s">
        <v>23</v>
      </c>
      <c r="F9">
        <v>75</v>
      </c>
      <c r="G9">
        <v>400</v>
      </c>
      <c r="H9">
        <v>6</v>
      </c>
      <c r="I9">
        <v>41</v>
      </c>
      <c r="J9">
        <v>41</v>
      </c>
      <c r="K9" s="3">
        <f t="shared" ref="K9" si="3">J9/I9</f>
        <v>1</v>
      </c>
      <c r="L9" s="6">
        <f>K9-K8</f>
        <v>0</v>
      </c>
    </row>
    <row r="10" spans="1:12" x14ac:dyDescent="0.2">
      <c r="A10" s="2">
        <v>43784</v>
      </c>
      <c r="B10" s="2">
        <v>43790</v>
      </c>
      <c r="C10" s="16" t="s">
        <v>25</v>
      </c>
      <c r="D10" t="s">
        <v>12</v>
      </c>
      <c r="E10" t="s">
        <v>23</v>
      </c>
      <c r="F10">
        <v>50</v>
      </c>
      <c r="H10">
        <v>6</v>
      </c>
      <c r="I10">
        <v>25</v>
      </c>
      <c r="J10">
        <v>25</v>
      </c>
      <c r="K10" s="3">
        <f>J10/I10</f>
        <v>1</v>
      </c>
      <c r="L10" s="5"/>
    </row>
    <row r="11" spans="1:12" x14ac:dyDescent="0.2">
      <c r="A11" s="2">
        <v>43784</v>
      </c>
      <c r="B11" s="2">
        <v>43790</v>
      </c>
      <c r="C11" s="16" t="s">
        <v>25</v>
      </c>
      <c r="D11" t="s">
        <v>12</v>
      </c>
      <c r="E11" t="s">
        <v>23</v>
      </c>
      <c r="F11">
        <v>50</v>
      </c>
      <c r="G11">
        <v>400</v>
      </c>
      <c r="H11">
        <v>6</v>
      </c>
      <c r="I11">
        <v>22</v>
      </c>
      <c r="J11">
        <v>22</v>
      </c>
      <c r="K11" s="3">
        <f t="shared" ref="K11" si="4">J11/I11</f>
        <v>1</v>
      </c>
      <c r="L11" s="6">
        <f>K11-K10</f>
        <v>0</v>
      </c>
    </row>
    <row r="12" spans="1:12" x14ac:dyDescent="0.2">
      <c r="A12" s="2">
        <v>43784</v>
      </c>
      <c r="B12" s="2">
        <v>43790</v>
      </c>
      <c r="C12" s="16" t="s">
        <v>25</v>
      </c>
      <c r="D12" t="s">
        <v>12</v>
      </c>
      <c r="E12" t="s">
        <v>23</v>
      </c>
      <c r="F12">
        <v>75</v>
      </c>
      <c r="H12">
        <v>6</v>
      </c>
      <c r="I12">
        <v>42</v>
      </c>
      <c r="J12">
        <v>0</v>
      </c>
      <c r="K12" s="3">
        <f>J12/I12</f>
        <v>0</v>
      </c>
      <c r="L12" s="5"/>
    </row>
    <row r="13" spans="1:12" x14ac:dyDescent="0.2">
      <c r="A13" s="2">
        <v>43784</v>
      </c>
      <c r="B13" s="2">
        <v>43790</v>
      </c>
      <c r="C13" s="16" t="s">
        <v>25</v>
      </c>
      <c r="D13" t="s">
        <v>12</v>
      </c>
      <c r="E13" t="s">
        <v>23</v>
      </c>
      <c r="F13">
        <v>75</v>
      </c>
      <c r="G13">
        <v>400</v>
      </c>
      <c r="H13">
        <v>6</v>
      </c>
      <c r="I13">
        <v>31</v>
      </c>
      <c r="J13">
        <v>31</v>
      </c>
      <c r="K13" s="3">
        <f t="shared" ref="K13" si="5">J13/I13</f>
        <v>1</v>
      </c>
      <c r="L13" s="6">
        <f>K13-K12</f>
        <v>1</v>
      </c>
    </row>
    <row r="14" spans="1:12" x14ac:dyDescent="0.2">
      <c r="A14" s="2">
        <v>43784</v>
      </c>
      <c r="B14" s="2">
        <v>43790</v>
      </c>
      <c r="C14" s="16" t="s">
        <v>26</v>
      </c>
      <c r="D14" t="s">
        <v>12</v>
      </c>
      <c r="E14" t="s">
        <v>23</v>
      </c>
      <c r="F14">
        <v>50</v>
      </c>
      <c r="H14">
        <v>6</v>
      </c>
      <c r="I14">
        <v>51</v>
      </c>
      <c r="J14">
        <v>12</v>
      </c>
      <c r="K14" s="3">
        <f>J14/I14</f>
        <v>0.23529411764705882</v>
      </c>
      <c r="L14" s="5"/>
    </row>
    <row r="15" spans="1:12" x14ac:dyDescent="0.2">
      <c r="A15" s="2">
        <v>43784</v>
      </c>
      <c r="B15" s="2">
        <v>43790</v>
      </c>
      <c r="C15" s="16" t="s">
        <v>26</v>
      </c>
      <c r="D15" t="s">
        <v>12</v>
      </c>
      <c r="E15" t="s">
        <v>23</v>
      </c>
      <c r="F15">
        <v>50</v>
      </c>
      <c r="G15">
        <v>400</v>
      </c>
      <c r="H15">
        <v>6</v>
      </c>
      <c r="I15">
        <v>35</v>
      </c>
      <c r="J15">
        <v>35</v>
      </c>
      <c r="K15" s="3">
        <f t="shared" ref="K15" si="6">J15/I15</f>
        <v>1</v>
      </c>
      <c r="L15" s="6">
        <f>K15-K14</f>
        <v>0.76470588235294112</v>
      </c>
    </row>
    <row r="16" spans="1:12" x14ac:dyDescent="0.2">
      <c r="A16" s="2">
        <v>43784</v>
      </c>
      <c r="B16" s="2">
        <v>43790</v>
      </c>
      <c r="C16" s="16" t="s">
        <v>26</v>
      </c>
      <c r="D16" t="s">
        <v>12</v>
      </c>
      <c r="E16" t="s">
        <v>23</v>
      </c>
      <c r="F16">
        <v>75</v>
      </c>
      <c r="H16">
        <v>6</v>
      </c>
      <c r="I16">
        <v>31</v>
      </c>
      <c r="J16">
        <v>31</v>
      </c>
      <c r="K16" s="3">
        <f>J16/I16</f>
        <v>1</v>
      </c>
      <c r="L16" s="5"/>
    </row>
    <row r="17" spans="1:12" x14ac:dyDescent="0.2">
      <c r="A17" s="2">
        <v>43784</v>
      </c>
      <c r="B17" s="2">
        <v>43790</v>
      </c>
      <c r="C17" s="16" t="s">
        <v>26</v>
      </c>
      <c r="D17" t="s">
        <v>12</v>
      </c>
      <c r="E17" t="s">
        <v>23</v>
      </c>
      <c r="F17">
        <v>75</v>
      </c>
      <c r="G17">
        <v>400</v>
      </c>
      <c r="H17">
        <v>6</v>
      </c>
      <c r="I17">
        <v>32</v>
      </c>
      <c r="J17">
        <v>31</v>
      </c>
      <c r="K17" s="3">
        <f t="shared" ref="K17" si="7">J17/I17</f>
        <v>0.96875</v>
      </c>
      <c r="L17" s="6">
        <f>K17-K16</f>
        <v>-3.125E-2</v>
      </c>
    </row>
    <row r="18" spans="1:12" x14ac:dyDescent="0.2">
      <c r="A18" s="2">
        <v>43784</v>
      </c>
      <c r="B18" s="2">
        <v>43790</v>
      </c>
      <c r="C18" s="16" t="s">
        <v>27</v>
      </c>
      <c r="D18" t="s">
        <v>12</v>
      </c>
      <c r="E18" t="s">
        <v>23</v>
      </c>
      <c r="F18">
        <v>50</v>
      </c>
      <c r="H18">
        <v>6</v>
      </c>
      <c r="I18">
        <v>58</v>
      </c>
      <c r="J18">
        <v>1</v>
      </c>
      <c r="K18" s="3">
        <f>J18/I18</f>
        <v>1.7241379310344827E-2</v>
      </c>
      <c r="L18" s="5"/>
    </row>
    <row r="19" spans="1:12" x14ac:dyDescent="0.2">
      <c r="A19" s="2">
        <v>43784</v>
      </c>
      <c r="B19" s="2">
        <v>43790</v>
      </c>
      <c r="C19" s="16" t="s">
        <v>27</v>
      </c>
      <c r="D19" t="s">
        <v>12</v>
      </c>
      <c r="E19" t="s">
        <v>23</v>
      </c>
      <c r="F19">
        <v>50</v>
      </c>
      <c r="G19">
        <v>400</v>
      </c>
      <c r="H19">
        <v>6</v>
      </c>
      <c r="I19">
        <v>79</v>
      </c>
      <c r="J19">
        <v>10</v>
      </c>
      <c r="K19" s="3">
        <f t="shared" ref="K19" si="8">J19/I19</f>
        <v>0.12658227848101267</v>
      </c>
      <c r="L19" s="6">
        <f>K19-K18</f>
        <v>0.10934089917066783</v>
      </c>
    </row>
    <row r="20" spans="1:12" x14ac:dyDescent="0.2">
      <c r="A20" s="2">
        <v>43784</v>
      </c>
      <c r="B20" s="2">
        <v>43790</v>
      </c>
      <c r="C20" s="16" t="s">
        <v>27</v>
      </c>
      <c r="D20" t="s">
        <v>12</v>
      </c>
      <c r="E20" t="s">
        <v>23</v>
      </c>
      <c r="F20">
        <v>75</v>
      </c>
      <c r="H20">
        <v>6</v>
      </c>
      <c r="I20">
        <v>76</v>
      </c>
      <c r="J20">
        <v>5</v>
      </c>
      <c r="K20" s="3">
        <f>J20/I20</f>
        <v>6.5789473684210523E-2</v>
      </c>
      <c r="L20" s="5"/>
    </row>
    <row r="21" spans="1:12" x14ac:dyDescent="0.2">
      <c r="A21" s="2">
        <v>43784</v>
      </c>
      <c r="B21" s="2">
        <v>43790</v>
      </c>
      <c r="C21" s="16" t="s">
        <v>27</v>
      </c>
      <c r="D21" t="s">
        <v>12</v>
      </c>
      <c r="E21" t="s">
        <v>23</v>
      </c>
      <c r="F21">
        <v>75</v>
      </c>
      <c r="G21">
        <v>400</v>
      </c>
      <c r="H21">
        <v>6</v>
      </c>
      <c r="I21">
        <v>69</v>
      </c>
      <c r="J21">
        <v>6</v>
      </c>
      <c r="K21" s="3">
        <f t="shared" ref="K21" si="9">J21/I21</f>
        <v>8.6956521739130432E-2</v>
      </c>
      <c r="L21" s="6">
        <f>K21-K20</f>
        <v>2.116704805491991E-2</v>
      </c>
    </row>
    <row r="22" spans="1:12" x14ac:dyDescent="0.2">
      <c r="A22" s="2">
        <v>43784</v>
      </c>
      <c r="B22" s="2">
        <v>43790</v>
      </c>
      <c r="C22" s="16" t="s">
        <v>28</v>
      </c>
      <c r="D22" t="s">
        <v>12</v>
      </c>
      <c r="E22" t="s">
        <v>23</v>
      </c>
      <c r="F22">
        <v>50</v>
      </c>
      <c r="H22">
        <v>6</v>
      </c>
      <c r="I22">
        <v>32</v>
      </c>
      <c r="J22">
        <v>3</v>
      </c>
      <c r="K22" s="3">
        <f>J22/I22</f>
        <v>9.375E-2</v>
      </c>
      <c r="L22" s="5"/>
    </row>
    <row r="23" spans="1:12" x14ac:dyDescent="0.2">
      <c r="A23" s="2">
        <v>43784</v>
      </c>
      <c r="B23" s="2">
        <v>43790</v>
      </c>
      <c r="C23" s="16" t="s">
        <v>28</v>
      </c>
      <c r="D23" t="s">
        <v>12</v>
      </c>
      <c r="E23" t="s">
        <v>23</v>
      </c>
      <c r="F23">
        <v>50</v>
      </c>
      <c r="G23">
        <v>400</v>
      </c>
      <c r="H23">
        <v>6</v>
      </c>
      <c r="I23">
        <v>27</v>
      </c>
      <c r="J23">
        <v>27</v>
      </c>
      <c r="K23" s="3">
        <f t="shared" ref="K23" si="10">J23/I23</f>
        <v>1</v>
      </c>
      <c r="L23" s="6">
        <f>K23-K22</f>
        <v>0.90625</v>
      </c>
    </row>
    <row r="24" spans="1:12" x14ac:dyDescent="0.2">
      <c r="A24" s="2">
        <v>43784</v>
      </c>
      <c r="B24" s="2">
        <v>43790</v>
      </c>
      <c r="C24" s="16" t="s">
        <v>28</v>
      </c>
      <c r="D24" t="s">
        <v>12</v>
      </c>
      <c r="E24" t="s">
        <v>23</v>
      </c>
      <c r="F24">
        <v>75</v>
      </c>
      <c r="H24">
        <v>6</v>
      </c>
      <c r="I24">
        <v>27</v>
      </c>
      <c r="J24">
        <v>5</v>
      </c>
      <c r="K24" s="3">
        <f>J24/I24</f>
        <v>0.18518518518518517</v>
      </c>
      <c r="L24" s="5"/>
    </row>
    <row r="25" spans="1:12" x14ac:dyDescent="0.2">
      <c r="A25" s="2">
        <v>43784</v>
      </c>
      <c r="B25" s="2">
        <v>43790</v>
      </c>
      <c r="C25" s="16" t="s">
        <v>28</v>
      </c>
      <c r="D25" t="s">
        <v>12</v>
      </c>
      <c r="E25" t="s">
        <v>23</v>
      </c>
      <c r="F25">
        <v>75</v>
      </c>
      <c r="G25">
        <v>400</v>
      </c>
      <c r="H25">
        <v>6</v>
      </c>
      <c r="I25">
        <v>37</v>
      </c>
      <c r="J25">
        <v>37</v>
      </c>
      <c r="K25" s="3">
        <f t="shared" ref="K25" si="11">J25/I25</f>
        <v>1</v>
      </c>
      <c r="L25" s="6">
        <f>K25-K24</f>
        <v>0.81481481481481488</v>
      </c>
    </row>
    <row r="26" spans="1:12" x14ac:dyDescent="0.2">
      <c r="A26" s="2">
        <v>43784</v>
      </c>
      <c r="B26" s="2">
        <v>43790</v>
      </c>
      <c r="C26" s="16" t="s">
        <v>29</v>
      </c>
      <c r="D26" t="s">
        <v>12</v>
      </c>
      <c r="E26" t="s">
        <v>23</v>
      </c>
      <c r="F26">
        <v>50</v>
      </c>
      <c r="H26">
        <v>6</v>
      </c>
      <c r="I26">
        <v>30</v>
      </c>
      <c r="J26">
        <v>0</v>
      </c>
      <c r="K26" s="3">
        <f>J26/I26</f>
        <v>0</v>
      </c>
      <c r="L26" s="5"/>
    </row>
    <row r="27" spans="1:12" x14ac:dyDescent="0.2">
      <c r="A27" s="2">
        <v>43784</v>
      </c>
      <c r="B27" s="2">
        <v>43790</v>
      </c>
      <c r="C27" s="16" t="s">
        <v>29</v>
      </c>
      <c r="D27" t="s">
        <v>12</v>
      </c>
      <c r="E27" t="s">
        <v>23</v>
      </c>
      <c r="F27">
        <v>50</v>
      </c>
      <c r="G27">
        <v>400</v>
      </c>
      <c r="H27">
        <v>6</v>
      </c>
      <c r="I27">
        <v>37</v>
      </c>
      <c r="J27">
        <v>0</v>
      </c>
      <c r="K27" s="3">
        <f t="shared" ref="K27" si="12">J27/I27</f>
        <v>0</v>
      </c>
      <c r="L27" s="6">
        <f>K27-K26</f>
        <v>0</v>
      </c>
    </row>
    <row r="28" spans="1:12" x14ac:dyDescent="0.2">
      <c r="A28" s="2">
        <v>43784</v>
      </c>
      <c r="B28" s="2">
        <v>43790</v>
      </c>
      <c r="C28" s="16" t="s">
        <v>29</v>
      </c>
      <c r="D28" t="s">
        <v>12</v>
      </c>
      <c r="E28" t="s">
        <v>23</v>
      </c>
      <c r="F28">
        <v>75</v>
      </c>
      <c r="H28">
        <v>6</v>
      </c>
      <c r="I28">
        <v>40</v>
      </c>
      <c r="J28">
        <v>30</v>
      </c>
      <c r="K28" s="3">
        <f>J28/I28</f>
        <v>0.75</v>
      </c>
      <c r="L28" s="5"/>
    </row>
    <row r="29" spans="1:12" x14ac:dyDescent="0.2">
      <c r="A29" s="2">
        <v>43784</v>
      </c>
      <c r="B29" s="2">
        <v>43790</v>
      </c>
      <c r="C29" s="16" t="s">
        <v>29</v>
      </c>
      <c r="D29" t="s">
        <v>12</v>
      </c>
      <c r="E29" t="s">
        <v>23</v>
      </c>
      <c r="F29">
        <v>75</v>
      </c>
      <c r="G29">
        <v>400</v>
      </c>
      <c r="H29">
        <v>6</v>
      </c>
      <c r="I29">
        <v>30</v>
      </c>
      <c r="J29">
        <v>1</v>
      </c>
      <c r="K29" s="3">
        <f t="shared" ref="K29" si="13">J29/I29</f>
        <v>3.3333333333333333E-2</v>
      </c>
      <c r="L29" s="6">
        <f>K29-K28</f>
        <v>-0.71666666666666667</v>
      </c>
    </row>
    <row r="30" spans="1:12" x14ac:dyDescent="0.2">
      <c r="A30" s="2">
        <v>43784</v>
      </c>
      <c r="B30" s="2">
        <v>43790</v>
      </c>
      <c r="C30" s="16" t="s">
        <v>30</v>
      </c>
      <c r="D30" t="s">
        <v>12</v>
      </c>
      <c r="E30" t="s">
        <v>23</v>
      </c>
      <c r="F30">
        <v>50</v>
      </c>
      <c r="H30">
        <v>6</v>
      </c>
      <c r="I30">
        <v>31</v>
      </c>
      <c r="J30">
        <v>31</v>
      </c>
      <c r="K30" s="3">
        <f>J30/I30</f>
        <v>1</v>
      </c>
      <c r="L30" s="5"/>
    </row>
    <row r="31" spans="1:12" x14ac:dyDescent="0.2">
      <c r="A31" s="2">
        <v>43784</v>
      </c>
      <c r="B31" s="2">
        <v>43790</v>
      </c>
      <c r="C31" s="16" t="s">
        <v>30</v>
      </c>
      <c r="D31" t="s">
        <v>12</v>
      </c>
      <c r="E31" t="s">
        <v>23</v>
      </c>
      <c r="F31">
        <v>50</v>
      </c>
      <c r="G31">
        <v>400</v>
      </c>
      <c r="H31">
        <v>6</v>
      </c>
      <c r="I31">
        <v>38</v>
      </c>
      <c r="J31">
        <v>38</v>
      </c>
      <c r="K31" s="3">
        <f t="shared" ref="K31" si="14">J31/I31</f>
        <v>1</v>
      </c>
      <c r="L31" s="6">
        <f>K31-K30</f>
        <v>0</v>
      </c>
    </row>
    <row r="32" spans="1:12" x14ac:dyDescent="0.2">
      <c r="A32" s="2">
        <v>43784</v>
      </c>
      <c r="B32" s="2">
        <v>43790</v>
      </c>
      <c r="C32" s="16" t="s">
        <v>30</v>
      </c>
      <c r="D32" t="s">
        <v>12</v>
      </c>
      <c r="E32" t="s">
        <v>23</v>
      </c>
      <c r="F32">
        <v>75</v>
      </c>
      <c r="H32">
        <v>6</v>
      </c>
      <c r="I32">
        <v>43</v>
      </c>
      <c r="J32">
        <v>30</v>
      </c>
      <c r="K32" s="3">
        <f>J32/I32</f>
        <v>0.69767441860465118</v>
      </c>
      <c r="L32" s="5"/>
    </row>
    <row r="33" spans="1:12" x14ac:dyDescent="0.2">
      <c r="A33" s="2">
        <v>43784</v>
      </c>
      <c r="B33" s="2">
        <v>43790</v>
      </c>
      <c r="C33" s="16" t="s">
        <v>30</v>
      </c>
      <c r="D33" t="s">
        <v>12</v>
      </c>
      <c r="E33" t="s">
        <v>23</v>
      </c>
      <c r="F33">
        <v>75</v>
      </c>
      <c r="G33">
        <v>400</v>
      </c>
      <c r="H33">
        <v>6</v>
      </c>
      <c r="I33">
        <v>41</v>
      </c>
      <c r="J33">
        <v>41</v>
      </c>
      <c r="K33" s="3">
        <f t="shared" ref="K33" si="15">J33/I33</f>
        <v>1</v>
      </c>
      <c r="L33" s="6">
        <f>K33-K32</f>
        <v>0.30232558139534882</v>
      </c>
    </row>
    <row r="34" spans="1:12" x14ac:dyDescent="0.2">
      <c r="A34" s="2">
        <v>43784</v>
      </c>
      <c r="B34" s="2">
        <v>43790</v>
      </c>
      <c r="C34" s="16" t="s">
        <v>31</v>
      </c>
      <c r="D34" t="s">
        <v>12</v>
      </c>
      <c r="E34" t="s">
        <v>23</v>
      </c>
      <c r="F34">
        <v>50</v>
      </c>
      <c r="H34">
        <v>6</v>
      </c>
      <c r="I34">
        <v>38</v>
      </c>
      <c r="J34">
        <v>28</v>
      </c>
      <c r="K34" s="3">
        <f>J34/I34</f>
        <v>0.73684210526315785</v>
      </c>
      <c r="L34" s="5"/>
    </row>
    <row r="35" spans="1:12" x14ac:dyDescent="0.2">
      <c r="A35" s="2">
        <v>43784</v>
      </c>
      <c r="B35" s="2">
        <v>43790</v>
      </c>
      <c r="C35" s="16" t="s">
        <v>31</v>
      </c>
      <c r="D35" t="s">
        <v>12</v>
      </c>
      <c r="E35" t="s">
        <v>23</v>
      </c>
      <c r="F35">
        <v>50</v>
      </c>
      <c r="G35">
        <v>400</v>
      </c>
      <c r="H35">
        <v>6</v>
      </c>
      <c r="I35">
        <v>36</v>
      </c>
      <c r="J35">
        <v>36</v>
      </c>
      <c r="K35" s="3">
        <f t="shared" ref="K35" si="16">J35/I35</f>
        <v>1</v>
      </c>
      <c r="L35" s="6">
        <f>K35-K34</f>
        <v>0.26315789473684215</v>
      </c>
    </row>
    <row r="36" spans="1:12" x14ac:dyDescent="0.2">
      <c r="A36" s="2">
        <v>43784</v>
      </c>
      <c r="B36" s="2">
        <v>43790</v>
      </c>
      <c r="C36" s="16" t="s">
        <v>31</v>
      </c>
      <c r="D36" t="s">
        <v>12</v>
      </c>
      <c r="E36" t="s">
        <v>23</v>
      </c>
      <c r="F36">
        <v>75</v>
      </c>
      <c r="H36">
        <v>6</v>
      </c>
      <c r="I36">
        <v>32</v>
      </c>
      <c r="J36">
        <v>32</v>
      </c>
      <c r="K36" s="3">
        <f>J36/I36</f>
        <v>1</v>
      </c>
      <c r="L36" s="5"/>
    </row>
    <row r="37" spans="1:12" x14ac:dyDescent="0.2">
      <c r="A37" s="2">
        <v>43784</v>
      </c>
      <c r="B37" s="2">
        <v>43790</v>
      </c>
      <c r="C37" s="16" t="s">
        <v>31</v>
      </c>
      <c r="D37" t="s">
        <v>12</v>
      </c>
      <c r="E37" t="s">
        <v>23</v>
      </c>
      <c r="F37">
        <v>75</v>
      </c>
      <c r="G37">
        <v>400</v>
      </c>
      <c r="H37">
        <v>6</v>
      </c>
      <c r="I37">
        <v>37</v>
      </c>
      <c r="J37">
        <v>37</v>
      </c>
      <c r="K37" s="3">
        <f t="shared" ref="K37" si="17">J37/I37</f>
        <v>1</v>
      </c>
      <c r="L37" s="6">
        <f>K37-K36</f>
        <v>0</v>
      </c>
    </row>
    <row r="40" spans="1:12" x14ac:dyDescent="0.2">
      <c r="A40" t="s">
        <v>17</v>
      </c>
    </row>
    <row r="42" spans="1:12" ht="119" x14ac:dyDescent="0.2">
      <c r="A42" s="10" t="s">
        <v>0</v>
      </c>
      <c r="B42" s="10" t="s">
        <v>1</v>
      </c>
      <c r="C42" s="10" t="s">
        <v>2</v>
      </c>
      <c r="D42" s="10" t="s">
        <v>3</v>
      </c>
      <c r="E42" s="10" t="s">
        <v>4</v>
      </c>
      <c r="F42" s="10" t="s">
        <v>5</v>
      </c>
      <c r="G42" s="10" t="s">
        <v>6</v>
      </c>
      <c r="H42" s="10" t="s">
        <v>7</v>
      </c>
      <c r="I42" s="10" t="s">
        <v>8</v>
      </c>
      <c r="J42" s="10" t="s">
        <v>9</v>
      </c>
      <c r="K42" s="10" t="s">
        <v>10</v>
      </c>
    </row>
    <row r="43" spans="1:12" x14ac:dyDescent="0.2">
      <c r="A43" s="2">
        <v>43784</v>
      </c>
      <c r="B43" s="2">
        <v>43790</v>
      </c>
      <c r="C43">
        <v>796</v>
      </c>
      <c r="D43" t="s">
        <v>12</v>
      </c>
      <c r="E43" t="s">
        <v>23</v>
      </c>
      <c r="F43">
        <v>50</v>
      </c>
      <c r="G43">
        <v>400</v>
      </c>
      <c r="H43">
        <v>6</v>
      </c>
      <c r="I43">
        <v>27</v>
      </c>
      <c r="J43">
        <v>27</v>
      </c>
      <c r="K43" s="3">
        <f t="shared" ref="K43:K60" si="18">J43/I43</f>
        <v>1</v>
      </c>
    </row>
    <row r="44" spans="1:12" x14ac:dyDescent="0.2">
      <c r="A44" s="2">
        <v>43784</v>
      </c>
      <c r="B44" s="2">
        <v>43790</v>
      </c>
      <c r="C44">
        <v>796</v>
      </c>
      <c r="D44" t="s">
        <v>12</v>
      </c>
      <c r="E44" t="s">
        <v>23</v>
      </c>
      <c r="F44">
        <v>75</v>
      </c>
      <c r="G44">
        <v>400</v>
      </c>
      <c r="H44">
        <v>6</v>
      </c>
      <c r="I44">
        <v>27</v>
      </c>
      <c r="J44">
        <v>27</v>
      </c>
      <c r="K44" s="3">
        <f t="shared" si="18"/>
        <v>1</v>
      </c>
    </row>
    <row r="45" spans="1:12" x14ac:dyDescent="0.2">
      <c r="A45" s="2">
        <v>43784</v>
      </c>
      <c r="B45" s="2">
        <v>43790</v>
      </c>
      <c r="C45" s="16" t="s">
        <v>24</v>
      </c>
      <c r="D45" t="s">
        <v>12</v>
      </c>
      <c r="E45" t="s">
        <v>23</v>
      </c>
      <c r="F45">
        <v>50</v>
      </c>
      <c r="G45">
        <v>400</v>
      </c>
      <c r="H45">
        <v>6</v>
      </c>
      <c r="I45">
        <v>33</v>
      </c>
      <c r="J45">
        <v>33</v>
      </c>
      <c r="K45" s="3">
        <f t="shared" si="18"/>
        <v>1</v>
      </c>
    </row>
    <row r="46" spans="1:12" x14ac:dyDescent="0.2">
      <c r="A46" s="2">
        <v>43784</v>
      </c>
      <c r="B46" s="2">
        <v>43790</v>
      </c>
      <c r="C46" s="16" t="s">
        <v>24</v>
      </c>
      <c r="D46" t="s">
        <v>12</v>
      </c>
      <c r="E46" t="s">
        <v>23</v>
      </c>
      <c r="F46">
        <v>75</v>
      </c>
      <c r="G46">
        <v>400</v>
      </c>
      <c r="H46">
        <v>6</v>
      </c>
      <c r="I46">
        <v>41</v>
      </c>
      <c r="J46">
        <v>41</v>
      </c>
      <c r="K46" s="3">
        <f t="shared" si="18"/>
        <v>1</v>
      </c>
    </row>
    <row r="47" spans="1:12" x14ac:dyDescent="0.2">
      <c r="A47" s="2">
        <v>43784</v>
      </c>
      <c r="B47" s="2">
        <v>43790</v>
      </c>
      <c r="C47" s="16" t="s">
        <v>25</v>
      </c>
      <c r="D47" t="s">
        <v>12</v>
      </c>
      <c r="E47" t="s">
        <v>23</v>
      </c>
      <c r="F47">
        <v>50</v>
      </c>
      <c r="G47">
        <v>400</v>
      </c>
      <c r="H47">
        <v>6</v>
      </c>
      <c r="I47">
        <v>22</v>
      </c>
      <c r="J47">
        <v>22</v>
      </c>
      <c r="K47" s="3">
        <f t="shared" si="18"/>
        <v>1</v>
      </c>
    </row>
    <row r="48" spans="1:12" x14ac:dyDescent="0.2">
      <c r="A48" s="2">
        <v>43784</v>
      </c>
      <c r="B48" s="2">
        <v>43790</v>
      </c>
      <c r="C48" s="16" t="s">
        <v>25</v>
      </c>
      <c r="D48" t="s">
        <v>12</v>
      </c>
      <c r="E48" t="s">
        <v>23</v>
      </c>
      <c r="F48">
        <v>75</v>
      </c>
      <c r="G48">
        <v>400</v>
      </c>
      <c r="H48">
        <v>6</v>
      </c>
      <c r="I48">
        <v>31</v>
      </c>
      <c r="J48">
        <v>31</v>
      </c>
      <c r="K48" s="3">
        <f t="shared" si="18"/>
        <v>1</v>
      </c>
    </row>
    <row r="49" spans="1:11" x14ac:dyDescent="0.2">
      <c r="A49" s="2">
        <v>43784</v>
      </c>
      <c r="B49" s="2">
        <v>43790</v>
      </c>
      <c r="C49" s="16" t="s">
        <v>26</v>
      </c>
      <c r="D49" t="s">
        <v>12</v>
      </c>
      <c r="E49" t="s">
        <v>23</v>
      </c>
      <c r="F49">
        <v>50</v>
      </c>
      <c r="G49">
        <v>400</v>
      </c>
      <c r="H49">
        <v>6</v>
      </c>
      <c r="I49">
        <v>35</v>
      </c>
      <c r="J49">
        <v>35</v>
      </c>
      <c r="K49" s="3">
        <f t="shared" si="18"/>
        <v>1</v>
      </c>
    </row>
    <row r="50" spans="1:11" x14ac:dyDescent="0.2">
      <c r="A50" s="2">
        <v>43784</v>
      </c>
      <c r="B50" s="2">
        <v>43790</v>
      </c>
      <c r="C50" s="16" t="s">
        <v>26</v>
      </c>
      <c r="D50" t="s">
        <v>12</v>
      </c>
      <c r="E50" t="s">
        <v>23</v>
      </c>
      <c r="F50">
        <v>75</v>
      </c>
      <c r="G50">
        <v>400</v>
      </c>
      <c r="H50">
        <v>6</v>
      </c>
      <c r="I50">
        <v>32</v>
      </c>
      <c r="J50">
        <v>31</v>
      </c>
      <c r="K50" s="3">
        <f t="shared" si="18"/>
        <v>0.96875</v>
      </c>
    </row>
    <row r="51" spans="1:11" x14ac:dyDescent="0.2">
      <c r="A51" s="2">
        <v>43784</v>
      </c>
      <c r="B51" s="2">
        <v>43790</v>
      </c>
      <c r="C51" s="16" t="s">
        <v>27</v>
      </c>
      <c r="D51" t="s">
        <v>12</v>
      </c>
      <c r="E51" t="s">
        <v>23</v>
      </c>
      <c r="F51">
        <v>50</v>
      </c>
      <c r="G51">
        <v>400</v>
      </c>
      <c r="H51">
        <v>6</v>
      </c>
      <c r="I51">
        <v>79</v>
      </c>
      <c r="J51">
        <v>10</v>
      </c>
      <c r="K51" s="3">
        <f t="shared" si="18"/>
        <v>0.12658227848101267</v>
      </c>
    </row>
    <row r="52" spans="1:11" x14ac:dyDescent="0.2">
      <c r="A52" s="2">
        <v>43784</v>
      </c>
      <c r="B52" s="2">
        <v>43790</v>
      </c>
      <c r="C52" s="16" t="s">
        <v>27</v>
      </c>
      <c r="D52" t="s">
        <v>12</v>
      </c>
      <c r="E52" t="s">
        <v>23</v>
      </c>
      <c r="F52">
        <v>75</v>
      </c>
      <c r="G52">
        <v>400</v>
      </c>
      <c r="H52">
        <v>6</v>
      </c>
      <c r="I52">
        <v>69</v>
      </c>
      <c r="J52">
        <v>6</v>
      </c>
      <c r="K52" s="3">
        <f t="shared" si="18"/>
        <v>8.6956521739130432E-2</v>
      </c>
    </row>
    <row r="53" spans="1:11" x14ac:dyDescent="0.2">
      <c r="A53" s="2">
        <v>43784</v>
      </c>
      <c r="B53" s="2">
        <v>43790</v>
      </c>
      <c r="C53" s="16" t="s">
        <v>28</v>
      </c>
      <c r="D53" t="s">
        <v>12</v>
      </c>
      <c r="E53" t="s">
        <v>23</v>
      </c>
      <c r="F53">
        <v>50</v>
      </c>
      <c r="G53">
        <v>400</v>
      </c>
      <c r="H53">
        <v>6</v>
      </c>
      <c r="I53">
        <v>27</v>
      </c>
      <c r="J53">
        <v>27</v>
      </c>
      <c r="K53" s="3">
        <f t="shared" si="18"/>
        <v>1</v>
      </c>
    </row>
    <row r="54" spans="1:11" x14ac:dyDescent="0.2">
      <c r="A54" s="2">
        <v>43784</v>
      </c>
      <c r="B54" s="2">
        <v>43790</v>
      </c>
      <c r="C54" s="16" t="s">
        <v>28</v>
      </c>
      <c r="D54" t="s">
        <v>12</v>
      </c>
      <c r="E54" t="s">
        <v>23</v>
      </c>
      <c r="F54">
        <v>75</v>
      </c>
      <c r="G54">
        <v>400</v>
      </c>
      <c r="H54">
        <v>6</v>
      </c>
      <c r="I54">
        <v>37</v>
      </c>
      <c r="J54">
        <v>37</v>
      </c>
      <c r="K54" s="3">
        <f t="shared" si="18"/>
        <v>1</v>
      </c>
    </row>
    <row r="55" spans="1:11" x14ac:dyDescent="0.2">
      <c r="A55" s="2">
        <v>43784</v>
      </c>
      <c r="B55" s="2">
        <v>43790</v>
      </c>
      <c r="C55" s="16" t="s">
        <v>29</v>
      </c>
      <c r="D55" t="s">
        <v>12</v>
      </c>
      <c r="E55" t="s">
        <v>23</v>
      </c>
      <c r="F55">
        <v>50</v>
      </c>
      <c r="G55">
        <v>400</v>
      </c>
      <c r="H55">
        <v>6</v>
      </c>
      <c r="I55">
        <v>37</v>
      </c>
      <c r="J55">
        <v>0</v>
      </c>
      <c r="K55" s="3">
        <f t="shared" si="18"/>
        <v>0</v>
      </c>
    </row>
    <row r="56" spans="1:11" x14ac:dyDescent="0.2">
      <c r="A56" s="2">
        <v>43784</v>
      </c>
      <c r="B56" s="2">
        <v>43790</v>
      </c>
      <c r="C56" s="16" t="s">
        <v>29</v>
      </c>
      <c r="D56" t="s">
        <v>12</v>
      </c>
      <c r="E56" t="s">
        <v>23</v>
      </c>
      <c r="F56">
        <v>75</v>
      </c>
      <c r="G56">
        <v>400</v>
      </c>
      <c r="H56">
        <v>6</v>
      </c>
      <c r="I56">
        <v>30</v>
      </c>
      <c r="J56">
        <v>1</v>
      </c>
      <c r="K56" s="3">
        <f t="shared" si="18"/>
        <v>3.3333333333333333E-2</v>
      </c>
    </row>
    <row r="57" spans="1:11" x14ac:dyDescent="0.2">
      <c r="A57" s="2">
        <v>43784</v>
      </c>
      <c r="B57" s="2">
        <v>43790</v>
      </c>
      <c r="C57" s="16" t="s">
        <v>30</v>
      </c>
      <c r="D57" t="s">
        <v>12</v>
      </c>
      <c r="E57" t="s">
        <v>23</v>
      </c>
      <c r="F57">
        <v>50</v>
      </c>
      <c r="G57">
        <v>400</v>
      </c>
      <c r="H57">
        <v>6</v>
      </c>
      <c r="I57">
        <v>38</v>
      </c>
      <c r="J57">
        <v>38</v>
      </c>
      <c r="K57" s="3">
        <f t="shared" si="18"/>
        <v>1</v>
      </c>
    </row>
    <row r="58" spans="1:11" x14ac:dyDescent="0.2">
      <c r="A58" s="2">
        <v>43784</v>
      </c>
      <c r="B58" s="2">
        <v>43790</v>
      </c>
      <c r="C58" s="16" t="s">
        <v>30</v>
      </c>
      <c r="D58" t="s">
        <v>12</v>
      </c>
      <c r="E58" t="s">
        <v>23</v>
      </c>
      <c r="F58">
        <v>75</v>
      </c>
      <c r="G58">
        <v>400</v>
      </c>
      <c r="H58">
        <v>6</v>
      </c>
      <c r="I58">
        <v>41</v>
      </c>
      <c r="J58">
        <v>41</v>
      </c>
      <c r="K58" s="3">
        <f t="shared" si="18"/>
        <v>1</v>
      </c>
    </row>
    <row r="59" spans="1:11" x14ac:dyDescent="0.2">
      <c r="A59" s="2">
        <v>43784</v>
      </c>
      <c r="B59" s="2">
        <v>43790</v>
      </c>
      <c r="C59" s="16" t="s">
        <v>31</v>
      </c>
      <c r="D59" t="s">
        <v>12</v>
      </c>
      <c r="E59" t="s">
        <v>23</v>
      </c>
      <c r="F59">
        <v>50</v>
      </c>
      <c r="G59">
        <v>400</v>
      </c>
      <c r="H59">
        <v>6</v>
      </c>
      <c r="I59">
        <v>36</v>
      </c>
      <c r="J59">
        <v>36</v>
      </c>
      <c r="K59" s="3">
        <f t="shared" si="18"/>
        <v>1</v>
      </c>
    </row>
    <row r="60" spans="1:11" x14ac:dyDescent="0.2">
      <c r="A60" s="2">
        <v>43784</v>
      </c>
      <c r="B60" s="2">
        <v>43790</v>
      </c>
      <c r="C60" s="16" t="s">
        <v>31</v>
      </c>
      <c r="D60" t="s">
        <v>12</v>
      </c>
      <c r="E60" t="s">
        <v>23</v>
      </c>
      <c r="F60">
        <v>75</v>
      </c>
      <c r="G60">
        <v>400</v>
      </c>
      <c r="H60">
        <v>6</v>
      </c>
      <c r="I60">
        <v>37</v>
      </c>
      <c r="J60">
        <v>37</v>
      </c>
      <c r="K60" s="3">
        <f t="shared" si="18"/>
        <v>1</v>
      </c>
    </row>
    <row r="61" spans="1:11" x14ac:dyDescent="0.2">
      <c r="A61" s="2">
        <v>43784</v>
      </c>
      <c r="B61" s="2">
        <v>43790</v>
      </c>
      <c r="C61">
        <v>796</v>
      </c>
      <c r="D61" t="s">
        <v>12</v>
      </c>
      <c r="E61" t="s">
        <v>23</v>
      </c>
      <c r="F61">
        <v>50</v>
      </c>
      <c r="H61">
        <v>6</v>
      </c>
      <c r="I61">
        <v>23</v>
      </c>
      <c r="J61">
        <v>23</v>
      </c>
      <c r="K61" s="3">
        <f t="shared" ref="K61:K78" si="19">J61/I61</f>
        <v>1</v>
      </c>
    </row>
    <row r="62" spans="1:11" x14ac:dyDescent="0.2">
      <c r="A62" s="2">
        <v>43784</v>
      </c>
      <c r="B62" s="2">
        <v>43790</v>
      </c>
      <c r="C62">
        <v>796</v>
      </c>
      <c r="D62" t="s">
        <v>12</v>
      </c>
      <c r="E62" t="s">
        <v>23</v>
      </c>
      <c r="F62">
        <v>75</v>
      </c>
      <c r="H62">
        <v>6</v>
      </c>
      <c r="I62">
        <v>31</v>
      </c>
      <c r="J62">
        <v>31</v>
      </c>
      <c r="K62" s="3">
        <f t="shared" si="19"/>
        <v>1</v>
      </c>
    </row>
    <row r="63" spans="1:11" x14ac:dyDescent="0.2">
      <c r="A63" s="2">
        <v>43784</v>
      </c>
      <c r="B63" s="2">
        <v>43790</v>
      </c>
      <c r="C63" s="16" t="s">
        <v>24</v>
      </c>
      <c r="D63" t="s">
        <v>12</v>
      </c>
      <c r="E63" t="s">
        <v>23</v>
      </c>
      <c r="F63">
        <v>50</v>
      </c>
      <c r="H63">
        <v>6</v>
      </c>
      <c r="I63">
        <v>42</v>
      </c>
      <c r="J63">
        <v>42</v>
      </c>
      <c r="K63" s="3">
        <f t="shared" si="19"/>
        <v>1</v>
      </c>
    </row>
    <row r="64" spans="1:11" x14ac:dyDescent="0.2">
      <c r="A64" s="2">
        <v>43784</v>
      </c>
      <c r="B64" s="2">
        <v>43790</v>
      </c>
      <c r="C64" s="16" t="s">
        <v>24</v>
      </c>
      <c r="D64" t="s">
        <v>12</v>
      </c>
      <c r="E64" t="s">
        <v>23</v>
      </c>
      <c r="F64">
        <v>75</v>
      </c>
      <c r="H64">
        <v>6</v>
      </c>
      <c r="I64">
        <v>25</v>
      </c>
      <c r="J64">
        <v>25</v>
      </c>
      <c r="K64" s="3">
        <f t="shared" si="19"/>
        <v>1</v>
      </c>
    </row>
    <row r="65" spans="1:11" x14ac:dyDescent="0.2">
      <c r="A65" s="2">
        <v>43784</v>
      </c>
      <c r="B65" s="2">
        <v>43790</v>
      </c>
      <c r="C65" s="16" t="s">
        <v>25</v>
      </c>
      <c r="D65" t="s">
        <v>12</v>
      </c>
      <c r="E65" t="s">
        <v>23</v>
      </c>
      <c r="F65">
        <v>50</v>
      </c>
      <c r="H65">
        <v>6</v>
      </c>
      <c r="I65">
        <v>25</v>
      </c>
      <c r="J65">
        <v>25</v>
      </c>
      <c r="K65" s="3">
        <f t="shared" si="19"/>
        <v>1</v>
      </c>
    </row>
    <row r="66" spans="1:11" x14ac:dyDescent="0.2">
      <c r="A66" s="2">
        <v>43784</v>
      </c>
      <c r="B66" s="2">
        <v>43790</v>
      </c>
      <c r="C66" s="16" t="s">
        <v>25</v>
      </c>
      <c r="D66" t="s">
        <v>12</v>
      </c>
      <c r="E66" t="s">
        <v>23</v>
      </c>
      <c r="F66">
        <v>75</v>
      </c>
      <c r="H66">
        <v>6</v>
      </c>
      <c r="I66">
        <v>42</v>
      </c>
      <c r="J66">
        <v>0</v>
      </c>
      <c r="K66" s="3">
        <f t="shared" si="19"/>
        <v>0</v>
      </c>
    </row>
    <row r="67" spans="1:11" x14ac:dyDescent="0.2">
      <c r="A67" s="2">
        <v>43784</v>
      </c>
      <c r="B67" s="2">
        <v>43790</v>
      </c>
      <c r="C67" s="16" t="s">
        <v>26</v>
      </c>
      <c r="D67" t="s">
        <v>12</v>
      </c>
      <c r="E67" t="s">
        <v>23</v>
      </c>
      <c r="F67">
        <v>50</v>
      </c>
      <c r="H67">
        <v>6</v>
      </c>
      <c r="I67">
        <v>51</v>
      </c>
      <c r="J67">
        <v>12</v>
      </c>
      <c r="K67" s="3">
        <f t="shared" si="19"/>
        <v>0.23529411764705882</v>
      </c>
    </row>
    <row r="68" spans="1:11" x14ac:dyDescent="0.2">
      <c r="A68" s="2">
        <v>43784</v>
      </c>
      <c r="B68" s="2">
        <v>43790</v>
      </c>
      <c r="C68" s="16" t="s">
        <v>26</v>
      </c>
      <c r="D68" t="s">
        <v>12</v>
      </c>
      <c r="E68" t="s">
        <v>23</v>
      </c>
      <c r="F68">
        <v>75</v>
      </c>
      <c r="H68">
        <v>6</v>
      </c>
      <c r="I68">
        <v>31</v>
      </c>
      <c r="J68">
        <v>31</v>
      </c>
      <c r="K68" s="3">
        <f t="shared" si="19"/>
        <v>1</v>
      </c>
    </row>
    <row r="69" spans="1:11" x14ac:dyDescent="0.2">
      <c r="A69" s="2">
        <v>43784</v>
      </c>
      <c r="B69" s="2">
        <v>43790</v>
      </c>
      <c r="C69" s="16" t="s">
        <v>27</v>
      </c>
      <c r="D69" t="s">
        <v>12</v>
      </c>
      <c r="E69" t="s">
        <v>23</v>
      </c>
      <c r="F69">
        <v>50</v>
      </c>
      <c r="H69">
        <v>6</v>
      </c>
      <c r="I69">
        <v>58</v>
      </c>
      <c r="J69">
        <v>1</v>
      </c>
      <c r="K69" s="3">
        <f t="shared" si="19"/>
        <v>1.7241379310344827E-2</v>
      </c>
    </row>
    <row r="70" spans="1:11" x14ac:dyDescent="0.2">
      <c r="A70" s="2">
        <v>43784</v>
      </c>
      <c r="B70" s="2">
        <v>43790</v>
      </c>
      <c r="C70" s="16" t="s">
        <v>27</v>
      </c>
      <c r="D70" t="s">
        <v>12</v>
      </c>
      <c r="E70" t="s">
        <v>23</v>
      </c>
      <c r="F70">
        <v>75</v>
      </c>
      <c r="H70">
        <v>6</v>
      </c>
      <c r="I70">
        <v>76</v>
      </c>
      <c r="J70">
        <v>5</v>
      </c>
      <c r="K70" s="3">
        <f t="shared" si="19"/>
        <v>6.5789473684210523E-2</v>
      </c>
    </row>
    <row r="71" spans="1:11" x14ac:dyDescent="0.2">
      <c r="A71" s="2">
        <v>43784</v>
      </c>
      <c r="B71" s="2">
        <v>43790</v>
      </c>
      <c r="C71" s="16" t="s">
        <v>28</v>
      </c>
      <c r="D71" t="s">
        <v>12</v>
      </c>
      <c r="E71" t="s">
        <v>23</v>
      </c>
      <c r="F71">
        <v>50</v>
      </c>
      <c r="H71">
        <v>6</v>
      </c>
      <c r="I71">
        <v>32</v>
      </c>
      <c r="J71">
        <v>3</v>
      </c>
      <c r="K71" s="3">
        <f t="shared" si="19"/>
        <v>9.375E-2</v>
      </c>
    </row>
    <row r="72" spans="1:11" x14ac:dyDescent="0.2">
      <c r="A72" s="2">
        <v>43784</v>
      </c>
      <c r="B72" s="2">
        <v>43790</v>
      </c>
      <c r="C72" s="16" t="s">
        <v>28</v>
      </c>
      <c r="D72" t="s">
        <v>12</v>
      </c>
      <c r="E72" t="s">
        <v>23</v>
      </c>
      <c r="F72">
        <v>75</v>
      </c>
      <c r="H72">
        <v>6</v>
      </c>
      <c r="I72">
        <v>27</v>
      </c>
      <c r="J72">
        <v>5</v>
      </c>
      <c r="K72" s="3">
        <f t="shared" si="19"/>
        <v>0.18518518518518517</v>
      </c>
    </row>
    <row r="73" spans="1:11" x14ac:dyDescent="0.2">
      <c r="A73" s="2">
        <v>43784</v>
      </c>
      <c r="B73" s="2">
        <v>43790</v>
      </c>
      <c r="C73" s="16" t="s">
        <v>29</v>
      </c>
      <c r="D73" t="s">
        <v>12</v>
      </c>
      <c r="E73" t="s">
        <v>23</v>
      </c>
      <c r="F73">
        <v>50</v>
      </c>
      <c r="H73">
        <v>6</v>
      </c>
      <c r="I73">
        <v>30</v>
      </c>
      <c r="J73">
        <v>0</v>
      </c>
      <c r="K73" s="3">
        <f t="shared" si="19"/>
        <v>0</v>
      </c>
    </row>
    <row r="74" spans="1:11" x14ac:dyDescent="0.2">
      <c r="A74" s="2">
        <v>43784</v>
      </c>
      <c r="B74" s="2">
        <v>43790</v>
      </c>
      <c r="C74" s="16" t="s">
        <v>29</v>
      </c>
      <c r="D74" t="s">
        <v>12</v>
      </c>
      <c r="E74" t="s">
        <v>23</v>
      </c>
      <c r="F74">
        <v>75</v>
      </c>
      <c r="H74">
        <v>6</v>
      </c>
      <c r="I74">
        <v>40</v>
      </c>
      <c r="J74">
        <v>30</v>
      </c>
      <c r="K74" s="3">
        <f t="shared" si="19"/>
        <v>0.75</v>
      </c>
    </row>
    <row r="75" spans="1:11" x14ac:dyDescent="0.2">
      <c r="A75" s="2">
        <v>43784</v>
      </c>
      <c r="B75" s="2">
        <v>43790</v>
      </c>
      <c r="C75" s="16" t="s">
        <v>30</v>
      </c>
      <c r="D75" t="s">
        <v>12</v>
      </c>
      <c r="E75" t="s">
        <v>23</v>
      </c>
      <c r="F75">
        <v>50</v>
      </c>
      <c r="H75">
        <v>6</v>
      </c>
      <c r="I75">
        <v>31</v>
      </c>
      <c r="J75">
        <v>31</v>
      </c>
      <c r="K75" s="3">
        <f t="shared" si="19"/>
        <v>1</v>
      </c>
    </row>
    <row r="76" spans="1:11" x14ac:dyDescent="0.2">
      <c r="A76" s="2">
        <v>43784</v>
      </c>
      <c r="B76" s="2">
        <v>43790</v>
      </c>
      <c r="C76" s="16" t="s">
        <v>30</v>
      </c>
      <c r="D76" t="s">
        <v>12</v>
      </c>
      <c r="E76" t="s">
        <v>23</v>
      </c>
      <c r="F76">
        <v>75</v>
      </c>
      <c r="H76">
        <v>6</v>
      </c>
      <c r="I76">
        <v>43</v>
      </c>
      <c r="J76">
        <v>30</v>
      </c>
      <c r="K76" s="3">
        <f t="shared" si="19"/>
        <v>0.69767441860465118</v>
      </c>
    </row>
    <row r="77" spans="1:11" x14ac:dyDescent="0.2">
      <c r="A77" s="2">
        <v>43784</v>
      </c>
      <c r="B77" s="2">
        <v>43790</v>
      </c>
      <c r="C77" s="16" t="s">
        <v>31</v>
      </c>
      <c r="D77" t="s">
        <v>12</v>
      </c>
      <c r="E77" t="s">
        <v>23</v>
      </c>
      <c r="F77">
        <v>50</v>
      </c>
      <c r="H77">
        <v>6</v>
      </c>
      <c r="I77">
        <v>38</v>
      </c>
      <c r="J77">
        <v>28</v>
      </c>
      <c r="K77" s="3">
        <f t="shared" si="19"/>
        <v>0.73684210526315785</v>
      </c>
    </row>
    <row r="78" spans="1:11" x14ac:dyDescent="0.2">
      <c r="A78" s="2">
        <v>43784</v>
      </c>
      <c r="B78" s="2">
        <v>43790</v>
      </c>
      <c r="C78" s="16" t="s">
        <v>31</v>
      </c>
      <c r="D78" t="s">
        <v>12</v>
      </c>
      <c r="E78" t="s">
        <v>23</v>
      </c>
      <c r="F78">
        <v>75</v>
      </c>
      <c r="H78">
        <v>6</v>
      </c>
      <c r="I78">
        <v>32</v>
      </c>
      <c r="J78">
        <v>32</v>
      </c>
      <c r="K78" s="3">
        <f t="shared" si="19"/>
        <v>1</v>
      </c>
    </row>
  </sheetData>
  <sortState xmlns:xlrd2="http://schemas.microsoft.com/office/spreadsheetml/2017/richdata2" ref="A43:L78">
    <sortCondition ref="G43:G78"/>
    <sortCondition ref="C43:C78"/>
    <sortCondition ref="F43:F7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0BCF-664D-A044-8BA6-DA638C603DDB}">
  <dimension ref="A1:L87"/>
  <sheetViews>
    <sheetView workbookViewId="0">
      <selection activeCell="F48" sqref="F48"/>
    </sheetView>
  </sheetViews>
  <sheetFormatPr baseColWidth="10" defaultColWidth="11" defaultRowHeight="16" x14ac:dyDescent="0.2"/>
  <cols>
    <col min="5" max="5" width="14.5" customWidth="1"/>
  </cols>
  <sheetData>
    <row r="1" spans="1:12" ht="119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</row>
    <row r="2" spans="1:12" x14ac:dyDescent="0.2">
      <c r="A2" s="2">
        <v>43791</v>
      </c>
      <c r="B2" s="2">
        <v>43795</v>
      </c>
      <c r="C2">
        <v>796</v>
      </c>
      <c r="D2" t="s">
        <v>12</v>
      </c>
      <c r="E2" t="s">
        <v>23</v>
      </c>
      <c r="F2">
        <v>50</v>
      </c>
      <c r="H2">
        <v>4</v>
      </c>
      <c r="I2">
        <v>35</v>
      </c>
      <c r="J2">
        <v>35</v>
      </c>
      <c r="K2" s="3">
        <f>J2/I2</f>
        <v>1</v>
      </c>
      <c r="L2" s="5"/>
    </row>
    <row r="3" spans="1:12" x14ac:dyDescent="0.2">
      <c r="A3" s="2">
        <v>43791</v>
      </c>
      <c r="B3" s="2">
        <v>43795</v>
      </c>
      <c r="C3">
        <v>796</v>
      </c>
      <c r="D3" t="s">
        <v>12</v>
      </c>
      <c r="E3" t="s">
        <v>23</v>
      </c>
      <c r="F3">
        <v>50</v>
      </c>
      <c r="G3">
        <v>400</v>
      </c>
      <c r="H3">
        <v>4</v>
      </c>
      <c r="I3">
        <v>45</v>
      </c>
      <c r="J3">
        <v>45</v>
      </c>
      <c r="K3" s="3">
        <f t="shared" ref="K3" si="0">J3/I3</f>
        <v>1</v>
      </c>
      <c r="L3" s="6">
        <f>K3-K2</f>
        <v>0</v>
      </c>
    </row>
    <row r="4" spans="1:12" x14ac:dyDescent="0.2">
      <c r="A4" s="2">
        <v>43791</v>
      </c>
      <c r="B4" s="2">
        <v>43795</v>
      </c>
      <c r="C4">
        <v>796</v>
      </c>
      <c r="D4" t="s">
        <v>12</v>
      </c>
      <c r="E4" t="s">
        <v>23</v>
      </c>
      <c r="F4">
        <v>75</v>
      </c>
      <c r="H4">
        <v>4</v>
      </c>
      <c r="I4">
        <v>26</v>
      </c>
      <c r="J4">
        <v>26</v>
      </c>
      <c r="K4" s="3">
        <f>J4/I4</f>
        <v>1</v>
      </c>
      <c r="L4" s="5"/>
    </row>
    <row r="5" spans="1:12" x14ac:dyDescent="0.2">
      <c r="A5" s="2">
        <v>43791</v>
      </c>
      <c r="B5" s="2">
        <v>43795</v>
      </c>
      <c r="C5">
        <v>796</v>
      </c>
      <c r="D5" t="s">
        <v>12</v>
      </c>
      <c r="E5" t="s">
        <v>23</v>
      </c>
      <c r="F5">
        <v>75</v>
      </c>
      <c r="G5">
        <v>400</v>
      </c>
      <c r="H5">
        <v>4</v>
      </c>
      <c r="I5">
        <v>41</v>
      </c>
      <c r="J5">
        <v>41</v>
      </c>
      <c r="K5" s="3">
        <f t="shared" ref="K5" si="1">J5/I5</f>
        <v>1</v>
      </c>
      <c r="L5" s="6">
        <f>K5-K4</f>
        <v>0</v>
      </c>
    </row>
    <row r="6" spans="1:12" x14ac:dyDescent="0.2">
      <c r="A6" s="2">
        <v>43791</v>
      </c>
      <c r="B6" s="2">
        <v>43795</v>
      </c>
      <c r="C6" s="16" t="s">
        <v>32</v>
      </c>
      <c r="D6" t="s">
        <v>12</v>
      </c>
      <c r="E6" t="s">
        <v>23</v>
      </c>
      <c r="F6">
        <v>50</v>
      </c>
      <c r="H6">
        <v>4</v>
      </c>
      <c r="I6">
        <v>35</v>
      </c>
      <c r="J6">
        <v>35</v>
      </c>
      <c r="K6" s="3">
        <f>J6/I6</f>
        <v>1</v>
      </c>
      <c r="L6" s="5"/>
    </row>
    <row r="7" spans="1:12" x14ac:dyDescent="0.2">
      <c r="A7" s="2">
        <v>43791</v>
      </c>
      <c r="B7" s="2">
        <v>43795</v>
      </c>
      <c r="C7" s="16" t="s">
        <v>32</v>
      </c>
      <c r="D7" t="s">
        <v>12</v>
      </c>
      <c r="E7" t="s">
        <v>23</v>
      </c>
      <c r="F7">
        <v>50</v>
      </c>
      <c r="G7">
        <v>400</v>
      </c>
      <c r="H7">
        <v>4</v>
      </c>
      <c r="I7">
        <v>39</v>
      </c>
      <c r="J7">
        <v>39</v>
      </c>
      <c r="K7" s="3">
        <f t="shared" ref="K7" si="2">J7/I7</f>
        <v>1</v>
      </c>
      <c r="L7" s="6">
        <f>K7-K6</f>
        <v>0</v>
      </c>
    </row>
    <row r="8" spans="1:12" x14ac:dyDescent="0.2">
      <c r="A8" s="2">
        <v>43791</v>
      </c>
      <c r="B8" s="2">
        <v>43795</v>
      </c>
      <c r="C8" s="16" t="s">
        <v>32</v>
      </c>
      <c r="D8" t="s">
        <v>12</v>
      </c>
      <c r="E8" t="s">
        <v>23</v>
      </c>
      <c r="F8">
        <v>75</v>
      </c>
      <c r="H8">
        <v>4</v>
      </c>
      <c r="I8">
        <v>35</v>
      </c>
      <c r="J8">
        <v>35</v>
      </c>
      <c r="K8" s="3">
        <f>J8/I8</f>
        <v>1</v>
      </c>
      <c r="L8" s="5"/>
    </row>
    <row r="9" spans="1:12" x14ac:dyDescent="0.2">
      <c r="A9" s="2">
        <v>43791</v>
      </c>
      <c r="B9" s="2">
        <v>43795</v>
      </c>
      <c r="C9" s="16" t="s">
        <v>32</v>
      </c>
      <c r="D9" t="s">
        <v>12</v>
      </c>
      <c r="E9" t="s">
        <v>23</v>
      </c>
      <c r="F9">
        <v>75</v>
      </c>
      <c r="G9">
        <v>400</v>
      </c>
      <c r="H9">
        <v>4</v>
      </c>
      <c r="I9">
        <v>36</v>
      </c>
      <c r="J9">
        <v>36</v>
      </c>
      <c r="K9" s="3">
        <f t="shared" ref="K9" si="3">J9/I9</f>
        <v>1</v>
      </c>
      <c r="L9" s="6">
        <f>K9-K8</f>
        <v>0</v>
      </c>
    </row>
    <row r="10" spans="1:12" x14ac:dyDescent="0.2">
      <c r="A10" s="2">
        <v>43791</v>
      </c>
      <c r="B10" s="2">
        <v>43795</v>
      </c>
      <c r="C10" s="16" t="s">
        <v>33</v>
      </c>
      <c r="D10" t="s">
        <v>12</v>
      </c>
      <c r="E10" t="s">
        <v>23</v>
      </c>
      <c r="F10">
        <v>50</v>
      </c>
      <c r="H10">
        <v>4</v>
      </c>
      <c r="I10">
        <v>23</v>
      </c>
      <c r="J10">
        <v>0</v>
      </c>
      <c r="K10" s="3">
        <f>J10/I10</f>
        <v>0</v>
      </c>
      <c r="L10" s="5"/>
    </row>
    <row r="11" spans="1:12" x14ac:dyDescent="0.2">
      <c r="A11" s="2">
        <v>43791</v>
      </c>
      <c r="B11" s="2">
        <v>43795</v>
      </c>
      <c r="C11" s="16" t="s">
        <v>33</v>
      </c>
      <c r="D11" t="s">
        <v>12</v>
      </c>
      <c r="E11" t="s">
        <v>23</v>
      </c>
      <c r="F11">
        <v>50</v>
      </c>
      <c r="G11">
        <v>400</v>
      </c>
      <c r="H11">
        <v>4</v>
      </c>
      <c r="I11">
        <v>18</v>
      </c>
      <c r="J11">
        <v>2</v>
      </c>
      <c r="K11" s="3">
        <f t="shared" ref="K11" si="4">J11/I11</f>
        <v>0.1111111111111111</v>
      </c>
      <c r="L11" s="6">
        <f>K11-K10</f>
        <v>0.1111111111111111</v>
      </c>
    </row>
    <row r="12" spans="1:12" x14ac:dyDescent="0.2">
      <c r="A12" s="2">
        <v>43791</v>
      </c>
      <c r="B12" s="2">
        <v>43795</v>
      </c>
      <c r="C12" s="16" t="s">
        <v>33</v>
      </c>
      <c r="D12" t="s">
        <v>12</v>
      </c>
      <c r="E12" t="s">
        <v>23</v>
      </c>
      <c r="F12">
        <v>75</v>
      </c>
      <c r="H12">
        <v>4</v>
      </c>
      <c r="I12">
        <v>31</v>
      </c>
      <c r="J12">
        <v>0</v>
      </c>
      <c r="K12" s="3">
        <f>J12/I12</f>
        <v>0</v>
      </c>
      <c r="L12" s="5"/>
    </row>
    <row r="13" spans="1:12" x14ac:dyDescent="0.2">
      <c r="A13" s="2">
        <v>43791</v>
      </c>
      <c r="B13" s="2">
        <v>43795</v>
      </c>
      <c r="C13" s="16" t="s">
        <v>33</v>
      </c>
      <c r="D13" t="s">
        <v>12</v>
      </c>
      <c r="E13" t="s">
        <v>23</v>
      </c>
      <c r="F13">
        <v>75</v>
      </c>
      <c r="G13">
        <v>400</v>
      </c>
      <c r="H13">
        <v>4</v>
      </c>
      <c r="I13">
        <v>16</v>
      </c>
      <c r="J13">
        <v>0</v>
      </c>
      <c r="K13" s="3">
        <f t="shared" ref="K13" si="5">J13/I13</f>
        <v>0</v>
      </c>
      <c r="L13" s="6">
        <f>K13-K12</f>
        <v>0</v>
      </c>
    </row>
    <row r="14" spans="1:12" x14ac:dyDescent="0.2">
      <c r="A14" s="2">
        <v>43791</v>
      </c>
      <c r="B14" s="2">
        <v>43795</v>
      </c>
      <c r="C14" s="16" t="s">
        <v>34</v>
      </c>
      <c r="D14" t="s">
        <v>12</v>
      </c>
      <c r="E14" t="s">
        <v>23</v>
      </c>
      <c r="F14">
        <v>50</v>
      </c>
      <c r="H14">
        <v>4</v>
      </c>
      <c r="I14">
        <v>43</v>
      </c>
      <c r="J14">
        <v>43</v>
      </c>
      <c r="K14" s="3">
        <f>J14/I14</f>
        <v>1</v>
      </c>
      <c r="L14" s="5"/>
    </row>
    <row r="15" spans="1:12" x14ac:dyDescent="0.2">
      <c r="A15" s="2">
        <v>43791</v>
      </c>
      <c r="B15" s="2">
        <v>43795</v>
      </c>
      <c r="C15" s="16" t="s">
        <v>34</v>
      </c>
      <c r="D15" t="s">
        <v>12</v>
      </c>
      <c r="E15" t="s">
        <v>23</v>
      </c>
      <c r="F15">
        <v>50</v>
      </c>
      <c r="G15">
        <v>400</v>
      </c>
      <c r="H15">
        <v>4</v>
      </c>
      <c r="I15">
        <v>47</v>
      </c>
      <c r="J15">
        <v>47</v>
      </c>
      <c r="K15" s="3">
        <f t="shared" ref="K15" si="6">J15/I15</f>
        <v>1</v>
      </c>
      <c r="L15" s="6">
        <f>K15-K14</f>
        <v>0</v>
      </c>
    </row>
    <row r="16" spans="1:12" x14ac:dyDescent="0.2">
      <c r="A16" s="2">
        <v>43791</v>
      </c>
      <c r="B16" s="2">
        <v>43795</v>
      </c>
      <c r="C16" s="16" t="s">
        <v>34</v>
      </c>
      <c r="D16" t="s">
        <v>12</v>
      </c>
      <c r="E16" t="s">
        <v>23</v>
      </c>
      <c r="F16">
        <v>75</v>
      </c>
      <c r="H16">
        <v>4</v>
      </c>
      <c r="I16">
        <v>50</v>
      </c>
      <c r="J16">
        <v>50</v>
      </c>
      <c r="K16" s="3">
        <f>J16/I16</f>
        <v>1</v>
      </c>
      <c r="L16" s="5"/>
    </row>
    <row r="17" spans="1:12" x14ac:dyDescent="0.2">
      <c r="A17" s="2">
        <v>43791</v>
      </c>
      <c r="B17" s="2">
        <v>43795</v>
      </c>
      <c r="C17" s="16" t="s">
        <v>34</v>
      </c>
      <c r="D17" t="s">
        <v>12</v>
      </c>
      <c r="E17" t="s">
        <v>23</v>
      </c>
      <c r="F17">
        <v>75</v>
      </c>
      <c r="G17">
        <v>400</v>
      </c>
      <c r="H17">
        <v>4</v>
      </c>
      <c r="I17">
        <v>44</v>
      </c>
      <c r="J17">
        <v>44</v>
      </c>
      <c r="K17" s="3">
        <f t="shared" ref="K17" si="7">J17/I17</f>
        <v>1</v>
      </c>
      <c r="L17" s="6">
        <f>K17-K16</f>
        <v>0</v>
      </c>
    </row>
    <row r="18" spans="1:12" x14ac:dyDescent="0.2">
      <c r="A18" s="2">
        <v>43791</v>
      </c>
      <c r="B18" s="2">
        <v>43795</v>
      </c>
      <c r="C18" s="16" t="s">
        <v>35</v>
      </c>
      <c r="D18" t="s">
        <v>12</v>
      </c>
      <c r="E18" t="s">
        <v>23</v>
      </c>
      <c r="F18">
        <v>50</v>
      </c>
      <c r="H18">
        <v>4</v>
      </c>
      <c r="I18">
        <v>55</v>
      </c>
      <c r="J18">
        <v>55</v>
      </c>
      <c r="K18" s="3">
        <f>J18/I18</f>
        <v>1</v>
      </c>
      <c r="L18" s="5"/>
    </row>
    <row r="19" spans="1:12" x14ac:dyDescent="0.2">
      <c r="A19" s="2">
        <v>43791</v>
      </c>
      <c r="B19" s="2">
        <v>43795</v>
      </c>
      <c r="C19" s="16" t="s">
        <v>35</v>
      </c>
      <c r="D19" t="s">
        <v>12</v>
      </c>
      <c r="E19" t="s">
        <v>23</v>
      </c>
      <c r="F19">
        <v>50</v>
      </c>
      <c r="G19">
        <v>400</v>
      </c>
      <c r="H19">
        <v>4</v>
      </c>
      <c r="I19">
        <v>28</v>
      </c>
      <c r="J19">
        <v>28</v>
      </c>
      <c r="K19" s="3">
        <f t="shared" ref="K19" si="8">J19/I19</f>
        <v>1</v>
      </c>
      <c r="L19" s="6">
        <f>K19-K18</f>
        <v>0</v>
      </c>
    </row>
    <row r="20" spans="1:12" x14ac:dyDescent="0.2">
      <c r="A20" s="2">
        <v>43791</v>
      </c>
      <c r="B20" s="2">
        <v>43795</v>
      </c>
      <c r="C20" s="16" t="s">
        <v>35</v>
      </c>
      <c r="D20" t="s">
        <v>12</v>
      </c>
      <c r="E20" t="s">
        <v>23</v>
      </c>
      <c r="F20">
        <v>75</v>
      </c>
      <c r="H20">
        <v>4</v>
      </c>
      <c r="I20">
        <v>48</v>
      </c>
      <c r="J20">
        <v>48</v>
      </c>
      <c r="K20" s="3">
        <f>J20/I20</f>
        <v>1</v>
      </c>
      <c r="L20" s="5"/>
    </row>
    <row r="21" spans="1:12" x14ac:dyDescent="0.2">
      <c r="A21" s="2">
        <v>43791</v>
      </c>
      <c r="B21" s="2">
        <v>43795</v>
      </c>
      <c r="C21" s="16" t="s">
        <v>35</v>
      </c>
      <c r="D21" t="s">
        <v>12</v>
      </c>
      <c r="E21" t="s">
        <v>23</v>
      </c>
      <c r="F21">
        <v>75</v>
      </c>
      <c r="G21">
        <v>400</v>
      </c>
      <c r="H21">
        <v>4</v>
      </c>
      <c r="I21">
        <v>39</v>
      </c>
      <c r="J21">
        <v>39</v>
      </c>
      <c r="K21" s="3">
        <f t="shared" ref="K21" si="9">J21/I21</f>
        <v>1</v>
      </c>
      <c r="L21" s="6">
        <f>K21-K20</f>
        <v>0</v>
      </c>
    </row>
    <row r="22" spans="1:12" x14ac:dyDescent="0.2">
      <c r="A22" s="2">
        <v>43791</v>
      </c>
      <c r="B22" s="2">
        <v>43795</v>
      </c>
      <c r="C22" s="16" t="s">
        <v>36</v>
      </c>
      <c r="D22" t="s">
        <v>12</v>
      </c>
      <c r="E22" t="s">
        <v>23</v>
      </c>
      <c r="F22">
        <v>50</v>
      </c>
      <c r="H22">
        <v>4</v>
      </c>
      <c r="I22">
        <v>33</v>
      </c>
      <c r="J22">
        <v>0</v>
      </c>
      <c r="K22" s="3">
        <f>J22/I22</f>
        <v>0</v>
      </c>
      <c r="L22" s="5"/>
    </row>
    <row r="23" spans="1:12" x14ac:dyDescent="0.2">
      <c r="A23" s="2">
        <v>43791</v>
      </c>
      <c r="B23" s="2">
        <v>43795</v>
      </c>
      <c r="C23" s="16" t="s">
        <v>36</v>
      </c>
      <c r="D23" t="s">
        <v>12</v>
      </c>
      <c r="E23" t="s">
        <v>23</v>
      </c>
      <c r="F23">
        <v>50</v>
      </c>
      <c r="G23">
        <v>400</v>
      </c>
      <c r="H23">
        <v>4</v>
      </c>
      <c r="I23">
        <v>38</v>
      </c>
      <c r="J23">
        <v>0</v>
      </c>
      <c r="K23" s="3">
        <f t="shared" ref="K23" si="10">J23/I23</f>
        <v>0</v>
      </c>
      <c r="L23" s="6">
        <f>K23-K22</f>
        <v>0</v>
      </c>
    </row>
    <row r="24" spans="1:12" x14ac:dyDescent="0.2">
      <c r="A24" s="2">
        <v>43791</v>
      </c>
      <c r="B24" s="2">
        <v>43795</v>
      </c>
      <c r="C24" s="16" t="s">
        <v>36</v>
      </c>
      <c r="D24" t="s">
        <v>12</v>
      </c>
      <c r="E24" t="s">
        <v>23</v>
      </c>
      <c r="F24">
        <v>75</v>
      </c>
      <c r="H24">
        <v>4</v>
      </c>
      <c r="I24">
        <v>42</v>
      </c>
      <c r="J24">
        <v>0</v>
      </c>
      <c r="K24" s="3">
        <f>J24/I24</f>
        <v>0</v>
      </c>
      <c r="L24" s="5"/>
    </row>
    <row r="25" spans="1:12" x14ac:dyDescent="0.2">
      <c r="A25" s="2">
        <v>43791</v>
      </c>
      <c r="B25" s="2">
        <v>43795</v>
      </c>
      <c r="C25" s="16" t="s">
        <v>36</v>
      </c>
      <c r="D25" t="s">
        <v>12</v>
      </c>
      <c r="E25" t="s">
        <v>23</v>
      </c>
      <c r="F25">
        <v>75</v>
      </c>
      <c r="G25">
        <v>400</v>
      </c>
      <c r="H25">
        <v>4</v>
      </c>
      <c r="I25">
        <v>37</v>
      </c>
      <c r="J25">
        <v>0</v>
      </c>
      <c r="K25" s="3">
        <f t="shared" ref="K25" si="11">J25/I25</f>
        <v>0</v>
      </c>
      <c r="L25" s="6">
        <f>K25-K24</f>
        <v>0</v>
      </c>
    </row>
    <row r="26" spans="1:12" x14ac:dyDescent="0.2">
      <c r="A26" s="2">
        <v>43791</v>
      </c>
      <c r="B26" s="2">
        <v>43795</v>
      </c>
      <c r="C26" s="16" t="s">
        <v>37</v>
      </c>
      <c r="D26" t="s">
        <v>12</v>
      </c>
      <c r="E26" t="s">
        <v>23</v>
      </c>
      <c r="F26">
        <v>50</v>
      </c>
      <c r="H26">
        <v>4</v>
      </c>
      <c r="I26">
        <v>50</v>
      </c>
      <c r="J26">
        <v>0</v>
      </c>
      <c r="K26" s="3">
        <f>J26/I26</f>
        <v>0</v>
      </c>
      <c r="L26" s="5"/>
    </row>
    <row r="27" spans="1:12" x14ac:dyDescent="0.2">
      <c r="A27" s="2">
        <v>43791</v>
      </c>
      <c r="B27" s="2">
        <v>43795</v>
      </c>
      <c r="C27" s="16" t="s">
        <v>37</v>
      </c>
      <c r="D27" t="s">
        <v>12</v>
      </c>
      <c r="E27" t="s">
        <v>23</v>
      </c>
      <c r="F27">
        <v>50</v>
      </c>
      <c r="G27">
        <v>400</v>
      </c>
      <c r="H27">
        <v>4</v>
      </c>
      <c r="I27">
        <v>49</v>
      </c>
      <c r="J27">
        <v>0</v>
      </c>
      <c r="K27" s="3">
        <f t="shared" ref="K27" si="12">J27/I27</f>
        <v>0</v>
      </c>
      <c r="L27" s="6">
        <f>K27-K26</f>
        <v>0</v>
      </c>
    </row>
    <row r="28" spans="1:12" x14ac:dyDescent="0.2">
      <c r="A28" s="2">
        <v>43791</v>
      </c>
      <c r="B28" s="2">
        <v>43795</v>
      </c>
      <c r="C28" s="16" t="s">
        <v>37</v>
      </c>
      <c r="D28" t="s">
        <v>12</v>
      </c>
      <c r="E28" t="s">
        <v>23</v>
      </c>
      <c r="F28">
        <v>75</v>
      </c>
      <c r="H28">
        <v>4</v>
      </c>
      <c r="I28">
        <v>45</v>
      </c>
      <c r="J28">
        <v>0</v>
      </c>
      <c r="K28" s="3">
        <f>J28/I28</f>
        <v>0</v>
      </c>
      <c r="L28" s="5"/>
    </row>
    <row r="29" spans="1:12" x14ac:dyDescent="0.2">
      <c r="A29" s="2">
        <v>43791</v>
      </c>
      <c r="B29" s="2">
        <v>43795</v>
      </c>
      <c r="C29" s="16" t="s">
        <v>37</v>
      </c>
      <c r="D29" t="s">
        <v>12</v>
      </c>
      <c r="E29" t="s">
        <v>23</v>
      </c>
      <c r="F29">
        <v>75</v>
      </c>
      <c r="G29">
        <v>400</v>
      </c>
      <c r="H29">
        <v>4</v>
      </c>
      <c r="I29">
        <v>45</v>
      </c>
      <c r="J29">
        <v>0</v>
      </c>
      <c r="K29" s="3">
        <f t="shared" ref="K29" si="13">J29/I29</f>
        <v>0</v>
      </c>
      <c r="L29" s="6">
        <f>K29-K28</f>
        <v>0</v>
      </c>
    </row>
    <row r="30" spans="1:12" x14ac:dyDescent="0.2">
      <c r="A30" s="2">
        <v>43791</v>
      </c>
      <c r="B30" s="2">
        <v>43795</v>
      </c>
      <c r="C30" s="16" t="s">
        <v>38</v>
      </c>
      <c r="D30" t="s">
        <v>12</v>
      </c>
      <c r="E30" t="s">
        <v>23</v>
      </c>
      <c r="F30">
        <v>50</v>
      </c>
      <c r="H30">
        <v>4</v>
      </c>
      <c r="I30">
        <v>37</v>
      </c>
      <c r="J30">
        <v>37</v>
      </c>
      <c r="K30" s="3">
        <f>J30/I30</f>
        <v>1</v>
      </c>
      <c r="L30" s="5"/>
    </row>
    <row r="31" spans="1:12" x14ac:dyDescent="0.2">
      <c r="A31" s="2">
        <v>43791</v>
      </c>
      <c r="B31" s="2">
        <v>43795</v>
      </c>
      <c r="C31" s="16" t="s">
        <v>38</v>
      </c>
      <c r="D31" t="s">
        <v>12</v>
      </c>
      <c r="E31" t="s">
        <v>23</v>
      </c>
      <c r="F31">
        <v>50</v>
      </c>
      <c r="G31">
        <v>400</v>
      </c>
      <c r="H31">
        <v>4</v>
      </c>
      <c r="I31">
        <v>30</v>
      </c>
      <c r="J31">
        <v>30</v>
      </c>
      <c r="K31" s="3">
        <f t="shared" ref="K31" si="14">J31/I31</f>
        <v>1</v>
      </c>
      <c r="L31" s="6">
        <f>K31-K30</f>
        <v>0</v>
      </c>
    </row>
    <row r="32" spans="1:12" x14ac:dyDescent="0.2">
      <c r="A32" s="2">
        <v>43791</v>
      </c>
      <c r="B32" s="2">
        <v>43795</v>
      </c>
      <c r="C32" s="16" t="s">
        <v>38</v>
      </c>
      <c r="D32" t="s">
        <v>12</v>
      </c>
      <c r="E32" t="s">
        <v>23</v>
      </c>
      <c r="F32">
        <v>75</v>
      </c>
      <c r="H32">
        <v>4</v>
      </c>
      <c r="I32">
        <v>39</v>
      </c>
      <c r="J32">
        <v>39</v>
      </c>
      <c r="K32" s="3">
        <f>J32/I32</f>
        <v>1</v>
      </c>
      <c r="L32" s="5"/>
    </row>
    <row r="33" spans="1:12" x14ac:dyDescent="0.2">
      <c r="A33" s="2">
        <v>43791</v>
      </c>
      <c r="B33" s="2">
        <v>43795</v>
      </c>
      <c r="C33" s="16" t="s">
        <v>38</v>
      </c>
      <c r="D33" t="s">
        <v>12</v>
      </c>
      <c r="E33" t="s">
        <v>23</v>
      </c>
      <c r="F33">
        <v>75</v>
      </c>
      <c r="G33">
        <v>400</v>
      </c>
      <c r="H33">
        <v>4</v>
      </c>
      <c r="I33">
        <v>46</v>
      </c>
      <c r="J33">
        <v>46</v>
      </c>
      <c r="K33" s="3">
        <f t="shared" ref="K33" si="15">J33/I33</f>
        <v>1</v>
      </c>
      <c r="L33" s="6">
        <f>K33-K32</f>
        <v>0</v>
      </c>
    </row>
    <row r="34" spans="1:12" x14ac:dyDescent="0.2">
      <c r="A34" s="2">
        <v>43791</v>
      </c>
      <c r="B34" s="2">
        <v>43795</v>
      </c>
      <c r="C34" s="16" t="s">
        <v>39</v>
      </c>
      <c r="D34" t="s">
        <v>12</v>
      </c>
      <c r="E34" t="s">
        <v>23</v>
      </c>
      <c r="F34">
        <v>50</v>
      </c>
      <c r="H34">
        <v>4</v>
      </c>
      <c r="I34">
        <v>36</v>
      </c>
      <c r="J34">
        <v>3</v>
      </c>
      <c r="K34" s="3">
        <f>J34/I34</f>
        <v>8.3333333333333329E-2</v>
      </c>
      <c r="L34" s="5"/>
    </row>
    <row r="35" spans="1:12" x14ac:dyDescent="0.2">
      <c r="A35" s="2">
        <v>43791</v>
      </c>
      <c r="B35" s="2">
        <v>43795</v>
      </c>
      <c r="C35" s="16" t="s">
        <v>39</v>
      </c>
      <c r="D35" t="s">
        <v>12</v>
      </c>
      <c r="E35" t="s">
        <v>23</v>
      </c>
      <c r="F35">
        <v>50</v>
      </c>
      <c r="G35">
        <v>400</v>
      </c>
      <c r="H35">
        <v>4</v>
      </c>
      <c r="I35">
        <v>30</v>
      </c>
      <c r="J35">
        <v>25</v>
      </c>
      <c r="K35" s="3">
        <f t="shared" ref="K35" si="16">J35/I35</f>
        <v>0.83333333333333337</v>
      </c>
      <c r="L35" s="6">
        <f>K35-K34</f>
        <v>0.75</v>
      </c>
    </row>
    <row r="36" spans="1:12" x14ac:dyDescent="0.2">
      <c r="A36" s="2">
        <v>43791</v>
      </c>
      <c r="B36" s="2">
        <v>43795</v>
      </c>
      <c r="C36" s="16" t="s">
        <v>39</v>
      </c>
      <c r="D36" t="s">
        <v>12</v>
      </c>
      <c r="E36" t="s">
        <v>23</v>
      </c>
      <c r="F36">
        <v>75</v>
      </c>
      <c r="H36">
        <v>4</v>
      </c>
      <c r="I36">
        <v>41</v>
      </c>
      <c r="J36">
        <v>41</v>
      </c>
      <c r="K36" s="3">
        <f>J36/I36</f>
        <v>1</v>
      </c>
      <c r="L36" s="5"/>
    </row>
    <row r="37" spans="1:12" x14ac:dyDescent="0.2">
      <c r="A37" s="2">
        <v>43791</v>
      </c>
      <c r="B37" s="2">
        <v>43795</v>
      </c>
      <c r="C37" s="16" t="s">
        <v>39</v>
      </c>
      <c r="D37" t="s">
        <v>12</v>
      </c>
      <c r="E37" t="s">
        <v>23</v>
      </c>
      <c r="F37">
        <v>75</v>
      </c>
      <c r="G37">
        <v>400</v>
      </c>
      <c r="H37">
        <v>4</v>
      </c>
      <c r="I37">
        <v>40</v>
      </c>
      <c r="J37">
        <v>40</v>
      </c>
      <c r="K37" s="3">
        <f t="shared" ref="K37" si="17">J37/I37</f>
        <v>1</v>
      </c>
      <c r="L37" s="6">
        <f>K37-K36</f>
        <v>0</v>
      </c>
    </row>
    <row r="38" spans="1:12" x14ac:dyDescent="0.2">
      <c r="A38" s="2">
        <v>43791</v>
      </c>
      <c r="B38" s="2">
        <v>43795</v>
      </c>
      <c r="C38" s="16" t="s">
        <v>40</v>
      </c>
      <c r="D38" t="s">
        <v>12</v>
      </c>
      <c r="E38" t="s">
        <v>23</v>
      </c>
      <c r="F38">
        <v>50</v>
      </c>
      <c r="H38">
        <v>4</v>
      </c>
      <c r="I38">
        <v>24</v>
      </c>
      <c r="J38">
        <v>18</v>
      </c>
      <c r="K38" s="3">
        <f>J38/I38</f>
        <v>0.75</v>
      </c>
      <c r="L38" s="5"/>
    </row>
    <row r="39" spans="1:12" x14ac:dyDescent="0.2">
      <c r="A39" s="2">
        <v>43791</v>
      </c>
      <c r="B39" s="2">
        <v>43795</v>
      </c>
      <c r="C39" s="16" t="s">
        <v>40</v>
      </c>
      <c r="D39" t="s">
        <v>12</v>
      </c>
      <c r="E39" t="s">
        <v>23</v>
      </c>
      <c r="F39">
        <v>50</v>
      </c>
      <c r="G39">
        <v>400</v>
      </c>
      <c r="H39">
        <v>4</v>
      </c>
      <c r="I39">
        <v>26</v>
      </c>
      <c r="J39">
        <v>13</v>
      </c>
      <c r="K39" s="3">
        <f t="shared" ref="K39" si="18">J39/I39</f>
        <v>0.5</v>
      </c>
      <c r="L39" s="6">
        <f>K39-K38</f>
        <v>-0.25</v>
      </c>
    </row>
    <row r="40" spans="1:12" x14ac:dyDescent="0.2">
      <c r="A40" s="2">
        <v>43791</v>
      </c>
      <c r="B40" s="2">
        <v>43795</v>
      </c>
      <c r="C40" s="16" t="s">
        <v>40</v>
      </c>
      <c r="D40" t="s">
        <v>12</v>
      </c>
      <c r="E40" t="s">
        <v>23</v>
      </c>
      <c r="F40">
        <v>75</v>
      </c>
      <c r="H40">
        <v>4</v>
      </c>
      <c r="I40">
        <v>25</v>
      </c>
      <c r="J40">
        <v>12</v>
      </c>
      <c r="K40" s="3">
        <f>J40/I40</f>
        <v>0.48</v>
      </c>
      <c r="L40" s="5"/>
    </row>
    <row r="41" spans="1:12" x14ac:dyDescent="0.2">
      <c r="A41" s="2">
        <v>43791</v>
      </c>
      <c r="B41" s="2">
        <v>43795</v>
      </c>
      <c r="C41" s="16" t="s">
        <v>40</v>
      </c>
      <c r="D41" t="s">
        <v>12</v>
      </c>
      <c r="E41" t="s">
        <v>23</v>
      </c>
      <c r="F41">
        <v>75</v>
      </c>
      <c r="G41">
        <v>400</v>
      </c>
      <c r="H41">
        <v>4</v>
      </c>
      <c r="I41">
        <v>17</v>
      </c>
      <c r="J41">
        <v>7</v>
      </c>
      <c r="K41" s="3">
        <f t="shared" ref="K41" si="19">J41/I41</f>
        <v>0.41176470588235292</v>
      </c>
      <c r="L41" s="6">
        <f>K41-K40</f>
        <v>-6.8235294117647061E-2</v>
      </c>
    </row>
    <row r="44" spans="1:12" x14ac:dyDescent="0.2">
      <c r="A44" t="s">
        <v>17</v>
      </c>
    </row>
    <row r="47" spans="1:12" ht="119" x14ac:dyDescent="0.2">
      <c r="A47" s="17" t="s">
        <v>0</v>
      </c>
      <c r="B47" s="17" t="s">
        <v>1</v>
      </c>
      <c r="C47" s="17" t="s">
        <v>2</v>
      </c>
      <c r="D47" s="17" t="s">
        <v>3</v>
      </c>
      <c r="E47" s="17" t="s">
        <v>4</v>
      </c>
      <c r="F47" s="17" t="s">
        <v>5</v>
      </c>
      <c r="G47" s="17" t="s">
        <v>6</v>
      </c>
      <c r="H47" s="17" t="s">
        <v>7</v>
      </c>
      <c r="I47" s="17" t="s">
        <v>8</v>
      </c>
      <c r="J47" s="17" t="s">
        <v>9</v>
      </c>
      <c r="K47" s="17" t="s">
        <v>10</v>
      </c>
    </row>
    <row r="48" spans="1:12" x14ac:dyDescent="0.2">
      <c r="A48" s="18">
        <v>43791</v>
      </c>
      <c r="B48" s="18">
        <v>43795</v>
      </c>
      <c r="C48" s="19">
        <v>796</v>
      </c>
      <c r="D48" s="19" t="s">
        <v>12</v>
      </c>
      <c r="E48" s="19" t="s">
        <v>23</v>
      </c>
      <c r="F48" s="19">
        <v>50</v>
      </c>
      <c r="G48" s="19">
        <v>400</v>
      </c>
      <c r="H48" s="19">
        <v>4</v>
      </c>
      <c r="I48" s="19">
        <v>45</v>
      </c>
      <c r="J48" s="19">
        <v>45</v>
      </c>
      <c r="K48" s="20">
        <v>1</v>
      </c>
    </row>
    <row r="49" spans="1:11" x14ac:dyDescent="0.2">
      <c r="A49" s="18">
        <v>43791</v>
      </c>
      <c r="B49" s="18">
        <v>43795</v>
      </c>
      <c r="C49" s="19">
        <v>796</v>
      </c>
      <c r="D49" s="19" t="s">
        <v>12</v>
      </c>
      <c r="E49" s="19" t="s">
        <v>23</v>
      </c>
      <c r="F49" s="19">
        <v>75</v>
      </c>
      <c r="G49" s="19">
        <v>400</v>
      </c>
      <c r="H49" s="19">
        <v>4</v>
      </c>
      <c r="I49" s="19">
        <v>41</v>
      </c>
      <c r="J49" s="19">
        <v>41</v>
      </c>
      <c r="K49" s="20">
        <v>1</v>
      </c>
    </row>
    <row r="50" spans="1:11" x14ac:dyDescent="0.2">
      <c r="A50" s="18">
        <v>43791</v>
      </c>
      <c r="B50" s="18">
        <v>43795</v>
      </c>
      <c r="C50" s="21" t="s">
        <v>39</v>
      </c>
      <c r="D50" s="19" t="s">
        <v>12</v>
      </c>
      <c r="E50" s="19" t="s">
        <v>23</v>
      </c>
      <c r="F50" s="19">
        <v>50</v>
      </c>
      <c r="G50" s="19">
        <v>400</v>
      </c>
      <c r="H50" s="19">
        <v>4</v>
      </c>
      <c r="I50" s="19">
        <v>30</v>
      </c>
      <c r="J50" s="19">
        <v>25</v>
      </c>
      <c r="K50" s="20">
        <v>0.83</v>
      </c>
    </row>
    <row r="51" spans="1:11" x14ac:dyDescent="0.2">
      <c r="A51" s="18">
        <v>43791</v>
      </c>
      <c r="B51" s="18">
        <v>43795</v>
      </c>
      <c r="C51" s="21" t="s">
        <v>39</v>
      </c>
      <c r="D51" s="19" t="s">
        <v>12</v>
      </c>
      <c r="E51" s="19" t="s">
        <v>23</v>
      </c>
      <c r="F51" s="19">
        <v>75</v>
      </c>
      <c r="G51" s="19">
        <v>400</v>
      </c>
      <c r="H51" s="19">
        <v>4</v>
      </c>
      <c r="I51" s="19">
        <v>40</v>
      </c>
      <c r="J51" s="19">
        <v>40</v>
      </c>
      <c r="K51" s="20">
        <v>1</v>
      </c>
    </row>
    <row r="52" spans="1:11" x14ac:dyDescent="0.2">
      <c r="A52" s="18">
        <v>43791</v>
      </c>
      <c r="B52" s="18">
        <v>43795</v>
      </c>
      <c r="C52" s="21" t="s">
        <v>33</v>
      </c>
      <c r="D52" s="19" t="s">
        <v>12</v>
      </c>
      <c r="E52" s="19" t="s">
        <v>23</v>
      </c>
      <c r="F52" s="19">
        <v>50</v>
      </c>
      <c r="G52" s="19">
        <v>400</v>
      </c>
      <c r="H52" s="19">
        <v>4</v>
      </c>
      <c r="I52" s="19">
        <v>18</v>
      </c>
      <c r="J52" s="19">
        <v>2</v>
      </c>
      <c r="K52" s="20">
        <v>0.11</v>
      </c>
    </row>
    <row r="53" spans="1:11" x14ac:dyDescent="0.2">
      <c r="A53" s="18">
        <v>43791</v>
      </c>
      <c r="B53" s="18">
        <v>43795</v>
      </c>
      <c r="C53" s="21" t="s">
        <v>33</v>
      </c>
      <c r="D53" s="19" t="s">
        <v>12</v>
      </c>
      <c r="E53" s="19" t="s">
        <v>23</v>
      </c>
      <c r="F53" s="19">
        <v>75</v>
      </c>
      <c r="G53" s="19">
        <v>400</v>
      </c>
      <c r="H53" s="19">
        <v>4</v>
      </c>
      <c r="I53" s="19">
        <v>16</v>
      </c>
      <c r="J53" s="19">
        <v>0</v>
      </c>
      <c r="K53" s="20">
        <v>0</v>
      </c>
    </row>
    <row r="54" spans="1:11" x14ac:dyDescent="0.2">
      <c r="A54" s="18">
        <v>43791</v>
      </c>
      <c r="B54" s="18">
        <v>43795</v>
      </c>
      <c r="C54" s="21" t="s">
        <v>32</v>
      </c>
      <c r="D54" s="19" t="s">
        <v>12</v>
      </c>
      <c r="E54" s="19" t="s">
        <v>23</v>
      </c>
      <c r="F54" s="19">
        <v>50</v>
      </c>
      <c r="G54" s="19">
        <v>400</v>
      </c>
      <c r="H54" s="19">
        <v>4</v>
      </c>
      <c r="I54" s="19">
        <v>39</v>
      </c>
      <c r="J54" s="19">
        <v>39</v>
      </c>
      <c r="K54" s="20">
        <v>1</v>
      </c>
    </row>
    <row r="55" spans="1:11" x14ac:dyDescent="0.2">
      <c r="A55" s="18">
        <v>43791</v>
      </c>
      <c r="B55" s="18">
        <v>43795</v>
      </c>
      <c r="C55" s="21" t="s">
        <v>32</v>
      </c>
      <c r="D55" s="19" t="s">
        <v>12</v>
      </c>
      <c r="E55" s="19" t="s">
        <v>23</v>
      </c>
      <c r="F55" s="19">
        <v>75</v>
      </c>
      <c r="G55" s="19">
        <v>400</v>
      </c>
      <c r="H55" s="19">
        <v>4</v>
      </c>
      <c r="I55" s="19">
        <v>36</v>
      </c>
      <c r="J55" s="19">
        <v>36</v>
      </c>
      <c r="K55" s="20">
        <v>1</v>
      </c>
    </row>
    <row r="56" spans="1:11" x14ac:dyDescent="0.2">
      <c r="A56" s="18">
        <v>43791</v>
      </c>
      <c r="B56" s="18">
        <v>43795</v>
      </c>
      <c r="C56" s="21" t="s">
        <v>38</v>
      </c>
      <c r="D56" s="19" t="s">
        <v>12</v>
      </c>
      <c r="E56" s="19" t="s">
        <v>23</v>
      </c>
      <c r="F56" s="19">
        <v>50</v>
      </c>
      <c r="G56" s="19">
        <v>400</v>
      </c>
      <c r="H56" s="19">
        <v>4</v>
      </c>
      <c r="I56" s="19">
        <v>30</v>
      </c>
      <c r="J56" s="19">
        <v>30</v>
      </c>
      <c r="K56" s="20">
        <v>1</v>
      </c>
    </row>
    <row r="57" spans="1:11" x14ac:dyDescent="0.2">
      <c r="A57" s="18">
        <v>43791</v>
      </c>
      <c r="B57" s="18">
        <v>43795</v>
      </c>
      <c r="C57" s="21" t="s">
        <v>38</v>
      </c>
      <c r="D57" s="19" t="s">
        <v>12</v>
      </c>
      <c r="E57" s="19" t="s">
        <v>23</v>
      </c>
      <c r="F57" s="19">
        <v>75</v>
      </c>
      <c r="G57" s="19">
        <v>400</v>
      </c>
      <c r="H57" s="19">
        <v>4</v>
      </c>
      <c r="I57" s="19">
        <v>46</v>
      </c>
      <c r="J57" s="19">
        <v>46</v>
      </c>
      <c r="K57" s="20">
        <v>1</v>
      </c>
    </row>
    <row r="58" spans="1:11" x14ac:dyDescent="0.2">
      <c r="A58" s="18">
        <v>43791</v>
      </c>
      <c r="B58" s="18">
        <v>43795</v>
      </c>
      <c r="C58" s="21" t="s">
        <v>35</v>
      </c>
      <c r="D58" s="19" t="s">
        <v>12</v>
      </c>
      <c r="E58" s="19" t="s">
        <v>23</v>
      </c>
      <c r="F58" s="19">
        <v>50</v>
      </c>
      <c r="G58" s="19">
        <v>400</v>
      </c>
      <c r="H58" s="19">
        <v>4</v>
      </c>
      <c r="I58" s="19">
        <v>28</v>
      </c>
      <c r="J58" s="19">
        <v>28</v>
      </c>
      <c r="K58" s="20">
        <v>1</v>
      </c>
    </row>
    <row r="59" spans="1:11" x14ac:dyDescent="0.2">
      <c r="A59" s="18">
        <v>43791</v>
      </c>
      <c r="B59" s="18">
        <v>43795</v>
      </c>
      <c r="C59" s="21" t="s">
        <v>35</v>
      </c>
      <c r="D59" s="19" t="s">
        <v>12</v>
      </c>
      <c r="E59" s="19" t="s">
        <v>23</v>
      </c>
      <c r="F59" s="19">
        <v>75</v>
      </c>
      <c r="G59" s="19">
        <v>400</v>
      </c>
      <c r="H59" s="19">
        <v>4</v>
      </c>
      <c r="I59" s="19">
        <v>39</v>
      </c>
      <c r="J59" s="19">
        <v>39</v>
      </c>
      <c r="K59" s="20">
        <v>1</v>
      </c>
    </row>
    <row r="60" spans="1:11" x14ac:dyDescent="0.2">
      <c r="A60" s="18">
        <v>43791</v>
      </c>
      <c r="B60" s="18">
        <v>43795</v>
      </c>
      <c r="C60" s="21" t="s">
        <v>34</v>
      </c>
      <c r="D60" s="19" t="s">
        <v>12</v>
      </c>
      <c r="E60" s="19" t="s">
        <v>23</v>
      </c>
      <c r="F60" s="19">
        <v>50</v>
      </c>
      <c r="G60" s="19">
        <v>400</v>
      </c>
      <c r="H60" s="19">
        <v>4</v>
      </c>
      <c r="I60" s="19">
        <v>47</v>
      </c>
      <c r="J60" s="19">
        <v>47</v>
      </c>
      <c r="K60" s="20">
        <v>1</v>
      </c>
    </row>
    <row r="61" spans="1:11" x14ac:dyDescent="0.2">
      <c r="A61" s="18">
        <v>43791</v>
      </c>
      <c r="B61" s="18">
        <v>43795</v>
      </c>
      <c r="C61" s="21" t="s">
        <v>34</v>
      </c>
      <c r="D61" s="19" t="s">
        <v>12</v>
      </c>
      <c r="E61" s="19" t="s">
        <v>23</v>
      </c>
      <c r="F61" s="19">
        <v>75</v>
      </c>
      <c r="G61" s="19">
        <v>400</v>
      </c>
      <c r="H61" s="19">
        <v>4</v>
      </c>
      <c r="I61" s="19">
        <v>44</v>
      </c>
      <c r="J61" s="19">
        <v>44</v>
      </c>
      <c r="K61" s="20">
        <v>1</v>
      </c>
    </row>
    <row r="62" spans="1:11" x14ac:dyDescent="0.2">
      <c r="A62" s="18">
        <v>43791</v>
      </c>
      <c r="B62" s="18">
        <v>43795</v>
      </c>
      <c r="C62" s="21" t="s">
        <v>37</v>
      </c>
      <c r="D62" s="19" t="s">
        <v>12</v>
      </c>
      <c r="E62" s="19" t="s">
        <v>23</v>
      </c>
      <c r="F62" s="19">
        <v>50</v>
      </c>
      <c r="G62" s="19">
        <v>400</v>
      </c>
      <c r="H62" s="19">
        <v>4</v>
      </c>
      <c r="I62" s="19">
        <v>49</v>
      </c>
      <c r="J62" s="19">
        <v>0</v>
      </c>
      <c r="K62" s="20">
        <v>0</v>
      </c>
    </row>
    <row r="63" spans="1:11" x14ac:dyDescent="0.2">
      <c r="A63" s="18">
        <v>43791</v>
      </c>
      <c r="B63" s="18">
        <v>43795</v>
      </c>
      <c r="C63" s="21" t="s">
        <v>37</v>
      </c>
      <c r="D63" s="19" t="s">
        <v>12</v>
      </c>
      <c r="E63" s="19" t="s">
        <v>23</v>
      </c>
      <c r="F63" s="19">
        <v>75</v>
      </c>
      <c r="G63" s="19">
        <v>400</v>
      </c>
      <c r="H63" s="19">
        <v>4</v>
      </c>
      <c r="I63" s="19">
        <v>45</v>
      </c>
      <c r="J63" s="19">
        <v>0</v>
      </c>
      <c r="K63" s="20">
        <v>0</v>
      </c>
    </row>
    <row r="64" spans="1:11" x14ac:dyDescent="0.2">
      <c r="A64" s="18">
        <v>43791</v>
      </c>
      <c r="B64" s="18">
        <v>43795</v>
      </c>
      <c r="C64" s="21" t="s">
        <v>36</v>
      </c>
      <c r="D64" s="19" t="s">
        <v>12</v>
      </c>
      <c r="E64" s="19" t="s">
        <v>23</v>
      </c>
      <c r="F64" s="19">
        <v>50</v>
      </c>
      <c r="G64" s="19">
        <v>400</v>
      </c>
      <c r="H64" s="19">
        <v>4</v>
      </c>
      <c r="I64" s="19">
        <v>38</v>
      </c>
      <c r="J64" s="19">
        <v>0</v>
      </c>
      <c r="K64" s="20">
        <v>0</v>
      </c>
    </row>
    <row r="65" spans="1:11" x14ac:dyDescent="0.2">
      <c r="A65" s="18">
        <v>43791</v>
      </c>
      <c r="B65" s="18">
        <v>43795</v>
      </c>
      <c r="C65" s="21" t="s">
        <v>36</v>
      </c>
      <c r="D65" s="19" t="s">
        <v>12</v>
      </c>
      <c r="E65" s="19" t="s">
        <v>23</v>
      </c>
      <c r="F65" s="19">
        <v>75</v>
      </c>
      <c r="G65" s="19">
        <v>400</v>
      </c>
      <c r="H65" s="19">
        <v>4</v>
      </c>
      <c r="I65" s="19">
        <v>37</v>
      </c>
      <c r="J65" s="19">
        <v>0</v>
      </c>
      <c r="K65" s="20">
        <v>0</v>
      </c>
    </row>
    <row r="66" spans="1:11" x14ac:dyDescent="0.2">
      <c r="A66" s="18">
        <v>43791</v>
      </c>
      <c r="B66" s="18">
        <v>43795</v>
      </c>
      <c r="C66" s="21" t="s">
        <v>40</v>
      </c>
      <c r="D66" s="19" t="s">
        <v>12</v>
      </c>
      <c r="E66" s="19" t="s">
        <v>23</v>
      </c>
      <c r="F66" s="19">
        <v>50</v>
      </c>
      <c r="G66" s="19">
        <v>400</v>
      </c>
      <c r="H66" s="19">
        <v>4</v>
      </c>
      <c r="I66" s="19">
        <v>26</v>
      </c>
      <c r="J66" s="19">
        <v>13</v>
      </c>
      <c r="K66" s="20">
        <v>0.5</v>
      </c>
    </row>
    <row r="67" spans="1:11" x14ac:dyDescent="0.2">
      <c r="A67" s="18">
        <v>43791</v>
      </c>
      <c r="B67" s="18">
        <v>43795</v>
      </c>
      <c r="C67" s="21" t="s">
        <v>40</v>
      </c>
      <c r="D67" s="19" t="s">
        <v>12</v>
      </c>
      <c r="E67" s="19" t="s">
        <v>23</v>
      </c>
      <c r="F67" s="19">
        <v>75</v>
      </c>
      <c r="G67" s="19">
        <v>400</v>
      </c>
      <c r="H67" s="19">
        <v>4</v>
      </c>
      <c r="I67" s="19">
        <v>17</v>
      </c>
      <c r="J67" s="19">
        <v>7</v>
      </c>
      <c r="K67" s="20">
        <v>0.41</v>
      </c>
    </row>
    <row r="68" spans="1:11" x14ac:dyDescent="0.2">
      <c r="A68" s="18">
        <v>43791</v>
      </c>
      <c r="B68" s="18">
        <v>43795</v>
      </c>
      <c r="C68" s="19">
        <v>796</v>
      </c>
      <c r="D68" s="19" t="s">
        <v>12</v>
      </c>
      <c r="E68" s="19" t="s">
        <v>23</v>
      </c>
      <c r="F68" s="19">
        <v>50</v>
      </c>
      <c r="G68" s="19"/>
      <c r="H68" s="19">
        <v>4</v>
      </c>
      <c r="I68" s="19">
        <v>35</v>
      </c>
      <c r="J68" s="19">
        <v>35</v>
      </c>
      <c r="K68" s="20">
        <v>1</v>
      </c>
    </row>
    <row r="69" spans="1:11" x14ac:dyDescent="0.2">
      <c r="A69" s="18">
        <v>43791</v>
      </c>
      <c r="B69" s="18">
        <v>43795</v>
      </c>
      <c r="C69" s="19">
        <v>796</v>
      </c>
      <c r="D69" s="19" t="s">
        <v>12</v>
      </c>
      <c r="E69" s="19" t="s">
        <v>23</v>
      </c>
      <c r="F69" s="19">
        <v>75</v>
      </c>
      <c r="G69" s="19"/>
      <c r="H69" s="19">
        <v>4</v>
      </c>
      <c r="I69" s="19">
        <v>26</v>
      </c>
      <c r="J69" s="19">
        <v>26</v>
      </c>
      <c r="K69" s="20">
        <v>1</v>
      </c>
    </row>
    <row r="70" spans="1:11" x14ac:dyDescent="0.2">
      <c r="A70" s="18">
        <v>43791</v>
      </c>
      <c r="B70" s="18">
        <v>43795</v>
      </c>
      <c r="C70" s="21" t="s">
        <v>39</v>
      </c>
      <c r="D70" s="19" t="s">
        <v>12</v>
      </c>
      <c r="E70" s="19" t="s">
        <v>23</v>
      </c>
      <c r="F70" s="19">
        <v>50</v>
      </c>
      <c r="G70" s="19"/>
      <c r="H70" s="19">
        <v>4</v>
      </c>
      <c r="I70" s="19">
        <v>36</v>
      </c>
      <c r="J70" s="19">
        <v>3</v>
      </c>
      <c r="K70" s="20">
        <v>0.08</v>
      </c>
    </row>
    <row r="71" spans="1:11" x14ac:dyDescent="0.2">
      <c r="A71" s="18">
        <v>43791</v>
      </c>
      <c r="B71" s="18">
        <v>43795</v>
      </c>
      <c r="C71" s="21" t="s">
        <v>39</v>
      </c>
      <c r="D71" s="19" t="s">
        <v>12</v>
      </c>
      <c r="E71" s="19" t="s">
        <v>23</v>
      </c>
      <c r="F71" s="19">
        <v>75</v>
      </c>
      <c r="G71" s="19"/>
      <c r="H71" s="19">
        <v>4</v>
      </c>
      <c r="I71" s="19">
        <v>41</v>
      </c>
      <c r="J71" s="19">
        <v>41</v>
      </c>
      <c r="K71" s="20">
        <v>1</v>
      </c>
    </row>
    <row r="72" spans="1:11" x14ac:dyDescent="0.2">
      <c r="A72" s="18">
        <v>43791</v>
      </c>
      <c r="B72" s="18">
        <v>43795</v>
      </c>
      <c r="C72" s="21" t="s">
        <v>33</v>
      </c>
      <c r="D72" s="19" t="s">
        <v>12</v>
      </c>
      <c r="E72" s="19" t="s">
        <v>23</v>
      </c>
      <c r="F72" s="19">
        <v>50</v>
      </c>
      <c r="G72" s="19"/>
      <c r="H72" s="19">
        <v>4</v>
      </c>
      <c r="I72" s="19">
        <v>23</v>
      </c>
      <c r="J72" s="19">
        <v>0</v>
      </c>
      <c r="K72" s="20">
        <v>0</v>
      </c>
    </row>
    <row r="73" spans="1:11" x14ac:dyDescent="0.2">
      <c r="A73" s="18">
        <v>43791</v>
      </c>
      <c r="B73" s="18">
        <v>43795</v>
      </c>
      <c r="C73" s="21" t="s">
        <v>33</v>
      </c>
      <c r="D73" s="19" t="s">
        <v>12</v>
      </c>
      <c r="E73" s="19" t="s">
        <v>23</v>
      </c>
      <c r="F73" s="19">
        <v>75</v>
      </c>
      <c r="G73" s="19"/>
      <c r="H73" s="19">
        <v>4</v>
      </c>
      <c r="I73" s="19">
        <v>31</v>
      </c>
      <c r="J73" s="19">
        <v>0</v>
      </c>
      <c r="K73" s="20">
        <v>0</v>
      </c>
    </row>
    <row r="74" spans="1:11" x14ac:dyDescent="0.2">
      <c r="A74" s="18">
        <v>43791</v>
      </c>
      <c r="B74" s="18">
        <v>43795</v>
      </c>
      <c r="C74" s="21" t="s">
        <v>32</v>
      </c>
      <c r="D74" s="19" t="s">
        <v>12</v>
      </c>
      <c r="E74" s="19" t="s">
        <v>23</v>
      </c>
      <c r="F74" s="19">
        <v>50</v>
      </c>
      <c r="G74" s="19"/>
      <c r="H74" s="19">
        <v>4</v>
      </c>
      <c r="I74" s="19">
        <v>35</v>
      </c>
      <c r="J74" s="19">
        <v>35</v>
      </c>
      <c r="K74" s="20">
        <v>1</v>
      </c>
    </row>
    <row r="75" spans="1:11" x14ac:dyDescent="0.2">
      <c r="A75" s="18">
        <v>43791</v>
      </c>
      <c r="B75" s="18">
        <v>43795</v>
      </c>
      <c r="C75" s="21" t="s">
        <v>32</v>
      </c>
      <c r="D75" s="19" t="s">
        <v>12</v>
      </c>
      <c r="E75" s="19" t="s">
        <v>23</v>
      </c>
      <c r="F75" s="19">
        <v>75</v>
      </c>
      <c r="G75" s="19"/>
      <c r="H75" s="19">
        <v>4</v>
      </c>
      <c r="I75" s="19">
        <v>35</v>
      </c>
      <c r="J75" s="19">
        <v>35</v>
      </c>
      <c r="K75" s="20">
        <v>1</v>
      </c>
    </row>
    <row r="76" spans="1:11" x14ac:dyDescent="0.2">
      <c r="A76" s="18">
        <v>43791</v>
      </c>
      <c r="B76" s="18">
        <v>43795</v>
      </c>
      <c r="C76" s="21" t="s">
        <v>38</v>
      </c>
      <c r="D76" s="19" t="s">
        <v>12</v>
      </c>
      <c r="E76" s="19" t="s">
        <v>23</v>
      </c>
      <c r="F76" s="19">
        <v>50</v>
      </c>
      <c r="G76" s="19"/>
      <c r="H76" s="19">
        <v>4</v>
      </c>
      <c r="I76" s="19">
        <v>37</v>
      </c>
      <c r="J76" s="19">
        <v>37</v>
      </c>
      <c r="K76" s="20">
        <v>1</v>
      </c>
    </row>
    <row r="77" spans="1:11" x14ac:dyDescent="0.2">
      <c r="A77" s="18">
        <v>43791</v>
      </c>
      <c r="B77" s="18">
        <v>43795</v>
      </c>
      <c r="C77" s="21" t="s">
        <v>38</v>
      </c>
      <c r="D77" s="19" t="s">
        <v>12</v>
      </c>
      <c r="E77" s="19" t="s">
        <v>23</v>
      </c>
      <c r="F77" s="19">
        <v>75</v>
      </c>
      <c r="G77" s="19"/>
      <c r="H77" s="19">
        <v>4</v>
      </c>
      <c r="I77" s="19">
        <v>39</v>
      </c>
      <c r="J77" s="19">
        <v>39</v>
      </c>
      <c r="K77" s="20">
        <v>1</v>
      </c>
    </row>
    <row r="78" spans="1:11" x14ac:dyDescent="0.2">
      <c r="A78" s="18">
        <v>43791</v>
      </c>
      <c r="B78" s="18">
        <v>43795</v>
      </c>
      <c r="C78" s="21" t="s">
        <v>35</v>
      </c>
      <c r="D78" s="19" t="s">
        <v>12</v>
      </c>
      <c r="E78" s="19" t="s">
        <v>23</v>
      </c>
      <c r="F78" s="19">
        <v>50</v>
      </c>
      <c r="G78" s="19"/>
      <c r="H78" s="19">
        <v>4</v>
      </c>
      <c r="I78" s="19">
        <v>55</v>
      </c>
      <c r="J78" s="19">
        <v>55</v>
      </c>
      <c r="K78" s="20">
        <v>1</v>
      </c>
    </row>
    <row r="79" spans="1:11" x14ac:dyDescent="0.2">
      <c r="A79" s="18">
        <v>43791</v>
      </c>
      <c r="B79" s="18">
        <v>43795</v>
      </c>
      <c r="C79" s="21" t="s">
        <v>35</v>
      </c>
      <c r="D79" s="19" t="s">
        <v>12</v>
      </c>
      <c r="E79" s="19" t="s">
        <v>23</v>
      </c>
      <c r="F79" s="19">
        <v>75</v>
      </c>
      <c r="G79" s="19"/>
      <c r="H79" s="19">
        <v>4</v>
      </c>
      <c r="I79" s="19">
        <v>48</v>
      </c>
      <c r="J79" s="19">
        <v>48</v>
      </c>
      <c r="K79" s="20">
        <v>1</v>
      </c>
    </row>
    <row r="80" spans="1:11" x14ac:dyDescent="0.2">
      <c r="A80" s="18">
        <v>43791</v>
      </c>
      <c r="B80" s="18">
        <v>43795</v>
      </c>
      <c r="C80" s="21" t="s">
        <v>34</v>
      </c>
      <c r="D80" s="19" t="s">
        <v>12</v>
      </c>
      <c r="E80" s="19" t="s">
        <v>23</v>
      </c>
      <c r="F80" s="19">
        <v>50</v>
      </c>
      <c r="G80" s="19"/>
      <c r="H80" s="19">
        <v>4</v>
      </c>
      <c r="I80" s="19">
        <v>43</v>
      </c>
      <c r="J80" s="19">
        <v>43</v>
      </c>
      <c r="K80" s="20">
        <v>1</v>
      </c>
    </row>
    <row r="81" spans="1:11" x14ac:dyDescent="0.2">
      <c r="A81" s="18">
        <v>43791</v>
      </c>
      <c r="B81" s="18">
        <v>43795</v>
      </c>
      <c r="C81" s="21" t="s">
        <v>34</v>
      </c>
      <c r="D81" s="19" t="s">
        <v>12</v>
      </c>
      <c r="E81" s="19" t="s">
        <v>23</v>
      </c>
      <c r="F81" s="19">
        <v>75</v>
      </c>
      <c r="G81" s="19"/>
      <c r="H81" s="19">
        <v>4</v>
      </c>
      <c r="I81" s="19">
        <v>50</v>
      </c>
      <c r="J81" s="19">
        <v>50</v>
      </c>
      <c r="K81" s="20">
        <v>1</v>
      </c>
    </row>
    <row r="82" spans="1:11" x14ac:dyDescent="0.2">
      <c r="A82" s="18">
        <v>43791</v>
      </c>
      <c r="B82" s="18">
        <v>43795</v>
      </c>
      <c r="C82" s="21" t="s">
        <v>37</v>
      </c>
      <c r="D82" s="19" t="s">
        <v>12</v>
      </c>
      <c r="E82" s="19" t="s">
        <v>23</v>
      </c>
      <c r="F82" s="19">
        <v>50</v>
      </c>
      <c r="G82" s="19"/>
      <c r="H82" s="19">
        <v>4</v>
      </c>
      <c r="I82" s="19">
        <v>50</v>
      </c>
      <c r="J82" s="19">
        <v>0</v>
      </c>
      <c r="K82" s="20">
        <v>0</v>
      </c>
    </row>
    <row r="83" spans="1:11" x14ac:dyDescent="0.2">
      <c r="A83" s="18">
        <v>43791</v>
      </c>
      <c r="B83" s="18">
        <v>43795</v>
      </c>
      <c r="C83" s="21" t="s">
        <v>37</v>
      </c>
      <c r="D83" s="19" t="s">
        <v>12</v>
      </c>
      <c r="E83" s="19" t="s">
        <v>23</v>
      </c>
      <c r="F83" s="19">
        <v>75</v>
      </c>
      <c r="G83" s="19"/>
      <c r="H83" s="19">
        <v>4</v>
      </c>
      <c r="I83" s="19">
        <v>45</v>
      </c>
      <c r="J83" s="19">
        <v>0</v>
      </c>
      <c r="K83" s="20">
        <v>0</v>
      </c>
    </row>
    <row r="84" spans="1:11" x14ac:dyDescent="0.2">
      <c r="A84" s="18">
        <v>43791</v>
      </c>
      <c r="B84" s="18">
        <v>43795</v>
      </c>
      <c r="C84" s="21" t="s">
        <v>36</v>
      </c>
      <c r="D84" s="19" t="s">
        <v>12</v>
      </c>
      <c r="E84" s="19" t="s">
        <v>23</v>
      </c>
      <c r="F84" s="19">
        <v>50</v>
      </c>
      <c r="G84" s="19"/>
      <c r="H84" s="19">
        <v>4</v>
      </c>
      <c r="I84" s="19">
        <v>33</v>
      </c>
      <c r="J84" s="19">
        <v>0</v>
      </c>
      <c r="K84" s="20">
        <v>0</v>
      </c>
    </row>
    <row r="85" spans="1:11" x14ac:dyDescent="0.2">
      <c r="A85" s="18">
        <v>43791</v>
      </c>
      <c r="B85" s="18">
        <v>43795</v>
      </c>
      <c r="C85" s="21" t="s">
        <v>36</v>
      </c>
      <c r="D85" s="19" t="s">
        <v>12</v>
      </c>
      <c r="E85" s="19" t="s">
        <v>23</v>
      </c>
      <c r="F85" s="19">
        <v>75</v>
      </c>
      <c r="G85" s="19"/>
      <c r="H85" s="19">
        <v>4</v>
      </c>
      <c r="I85" s="19">
        <v>42</v>
      </c>
      <c r="J85" s="19">
        <v>0</v>
      </c>
      <c r="K85" s="20">
        <v>0</v>
      </c>
    </row>
    <row r="86" spans="1:11" x14ac:dyDescent="0.2">
      <c r="A86" s="18">
        <v>43791</v>
      </c>
      <c r="B86" s="18">
        <v>43795</v>
      </c>
      <c r="C86" s="21" t="s">
        <v>40</v>
      </c>
      <c r="D86" s="19" t="s">
        <v>12</v>
      </c>
      <c r="E86" s="19" t="s">
        <v>23</v>
      </c>
      <c r="F86" s="19">
        <v>50</v>
      </c>
      <c r="G86" s="19"/>
      <c r="H86" s="19">
        <v>4</v>
      </c>
      <c r="I86" s="19">
        <v>24</v>
      </c>
      <c r="J86" s="19">
        <v>18</v>
      </c>
      <c r="K86" s="20">
        <v>0.75</v>
      </c>
    </row>
    <row r="87" spans="1:11" x14ac:dyDescent="0.2">
      <c r="A87" s="18">
        <v>43791</v>
      </c>
      <c r="B87" s="18">
        <v>43795</v>
      </c>
      <c r="C87" s="21" t="s">
        <v>40</v>
      </c>
      <c r="D87" s="19" t="s">
        <v>12</v>
      </c>
      <c r="E87" s="19" t="s">
        <v>23</v>
      </c>
      <c r="F87" s="19">
        <v>75</v>
      </c>
      <c r="G87" s="19"/>
      <c r="H87" s="19">
        <v>4</v>
      </c>
      <c r="I87" s="19">
        <v>25</v>
      </c>
      <c r="J87" s="19">
        <v>12</v>
      </c>
      <c r="K87" s="20">
        <v>0.48</v>
      </c>
    </row>
  </sheetData>
  <sortState xmlns:xlrd2="http://schemas.microsoft.com/office/spreadsheetml/2017/richdata2" ref="A48:K87">
    <sortCondition ref="G48:G87"/>
    <sortCondition ref="C48:C87"/>
    <sortCondition ref="F48:F8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61BE-26EA-824B-BA48-BF792342958F}">
  <dimension ref="A1:L87"/>
  <sheetViews>
    <sheetView topLeftCell="A6" workbookViewId="0">
      <selection activeCell="A45" sqref="A45"/>
    </sheetView>
  </sheetViews>
  <sheetFormatPr baseColWidth="10" defaultColWidth="11" defaultRowHeight="16" x14ac:dyDescent="0.2"/>
  <sheetData>
    <row r="1" spans="1:12" ht="119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</row>
    <row r="2" spans="1:12" x14ac:dyDescent="0.2">
      <c r="A2" s="2">
        <v>43791</v>
      </c>
      <c r="B2" s="2">
        <v>43797</v>
      </c>
      <c r="C2">
        <v>796</v>
      </c>
      <c r="D2" t="s">
        <v>12</v>
      </c>
      <c r="E2" t="s">
        <v>23</v>
      </c>
      <c r="F2">
        <v>50</v>
      </c>
      <c r="H2">
        <v>4</v>
      </c>
      <c r="I2">
        <v>33</v>
      </c>
      <c r="J2">
        <v>33</v>
      </c>
      <c r="K2" s="3">
        <f>J2/I2</f>
        <v>1</v>
      </c>
      <c r="L2" s="5"/>
    </row>
    <row r="3" spans="1:12" x14ac:dyDescent="0.2">
      <c r="A3" s="2">
        <v>43791</v>
      </c>
      <c r="B3" s="2">
        <v>43797</v>
      </c>
      <c r="C3">
        <v>796</v>
      </c>
      <c r="D3" t="s">
        <v>12</v>
      </c>
      <c r="E3" t="s">
        <v>23</v>
      </c>
      <c r="F3">
        <v>50</v>
      </c>
      <c r="G3">
        <v>400</v>
      </c>
      <c r="H3">
        <v>4</v>
      </c>
      <c r="I3">
        <v>25</v>
      </c>
      <c r="J3">
        <v>25</v>
      </c>
      <c r="K3" s="3">
        <f t="shared" ref="K3" si="0">J3/I3</f>
        <v>1</v>
      </c>
      <c r="L3" s="6">
        <f>K3-K2</f>
        <v>0</v>
      </c>
    </row>
    <row r="4" spans="1:12" x14ac:dyDescent="0.2">
      <c r="A4" s="2">
        <v>43791</v>
      </c>
      <c r="B4" s="2">
        <v>43797</v>
      </c>
      <c r="C4">
        <v>796</v>
      </c>
      <c r="D4" t="s">
        <v>12</v>
      </c>
      <c r="E4" t="s">
        <v>23</v>
      </c>
      <c r="F4">
        <v>75</v>
      </c>
      <c r="H4">
        <v>4</v>
      </c>
      <c r="I4">
        <v>34</v>
      </c>
      <c r="J4">
        <v>34</v>
      </c>
      <c r="K4" s="3">
        <f>J4/I4</f>
        <v>1</v>
      </c>
      <c r="L4" s="5"/>
    </row>
    <row r="5" spans="1:12" x14ac:dyDescent="0.2">
      <c r="A5" s="2">
        <v>43791</v>
      </c>
      <c r="B5" s="2">
        <v>43797</v>
      </c>
      <c r="C5">
        <v>796</v>
      </c>
      <c r="D5" t="s">
        <v>12</v>
      </c>
      <c r="E5" t="s">
        <v>23</v>
      </c>
      <c r="F5">
        <v>75</v>
      </c>
      <c r="G5">
        <v>400</v>
      </c>
      <c r="H5">
        <v>4</v>
      </c>
      <c r="I5">
        <v>38</v>
      </c>
      <c r="J5">
        <v>38</v>
      </c>
      <c r="K5" s="3">
        <f t="shared" ref="K5" si="1">J5/I5</f>
        <v>1</v>
      </c>
      <c r="L5" s="6">
        <f>K5-K4</f>
        <v>0</v>
      </c>
    </row>
    <row r="6" spans="1:12" x14ac:dyDescent="0.2">
      <c r="A6" s="2">
        <v>43791</v>
      </c>
      <c r="B6" s="2">
        <v>43797</v>
      </c>
      <c r="C6" s="16" t="s">
        <v>32</v>
      </c>
      <c r="D6" t="s">
        <v>12</v>
      </c>
      <c r="E6" t="s">
        <v>23</v>
      </c>
      <c r="F6">
        <v>50</v>
      </c>
      <c r="H6">
        <v>4</v>
      </c>
      <c r="I6">
        <v>38</v>
      </c>
      <c r="J6">
        <v>38</v>
      </c>
      <c r="K6" s="3">
        <f t="shared" ref="K6:K41" si="2">J6/I6</f>
        <v>1</v>
      </c>
      <c r="L6" s="5"/>
    </row>
    <row r="7" spans="1:12" x14ac:dyDescent="0.2">
      <c r="A7" s="2">
        <v>43791</v>
      </c>
      <c r="B7" s="2">
        <v>43797</v>
      </c>
      <c r="C7" s="16" t="s">
        <v>32</v>
      </c>
      <c r="D7" t="s">
        <v>12</v>
      </c>
      <c r="E7" t="s">
        <v>23</v>
      </c>
      <c r="F7">
        <v>50</v>
      </c>
      <c r="G7">
        <v>400</v>
      </c>
      <c r="H7">
        <v>4</v>
      </c>
      <c r="I7">
        <v>57</v>
      </c>
      <c r="J7">
        <v>57</v>
      </c>
      <c r="K7" s="3">
        <f t="shared" si="2"/>
        <v>1</v>
      </c>
      <c r="L7" s="6">
        <f>K7-K6</f>
        <v>0</v>
      </c>
    </row>
    <row r="8" spans="1:12" x14ac:dyDescent="0.2">
      <c r="A8" s="2">
        <v>43791</v>
      </c>
      <c r="B8" s="2">
        <v>43797</v>
      </c>
      <c r="C8" s="16" t="s">
        <v>32</v>
      </c>
      <c r="D8" t="s">
        <v>12</v>
      </c>
      <c r="E8" t="s">
        <v>23</v>
      </c>
      <c r="F8">
        <v>75</v>
      </c>
      <c r="H8">
        <v>4</v>
      </c>
      <c r="I8">
        <v>39</v>
      </c>
      <c r="J8">
        <v>39</v>
      </c>
      <c r="K8" s="3">
        <f t="shared" si="2"/>
        <v>1</v>
      </c>
      <c r="L8" s="5"/>
    </row>
    <row r="9" spans="1:12" x14ac:dyDescent="0.2">
      <c r="A9" s="2">
        <v>43791</v>
      </c>
      <c r="B9" s="2">
        <v>43797</v>
      </c>
      <c r="C9" s="16" t="s">
        <v>32</v>
      </c>
      <c r="D9" t="s">
        <v>12</v>
      </c>
      <c r="E9" t="s">
        <v>23</v>
      </c>
      <c r="F9">
        <v>75</v>
      </c>
      <c r="G9">
        <v>400</v>
      </c>
      <c r="H9">
        <v>4</v>
      </c>
      <c r="I9">
        <v>27</v>
      </c>
      <c r="J9">
        <v>27</v>
      </c>
      <c r="K9" s="3">
        <f t="shared" si="2"/>
        <v>1</v>
      </c>
      <c r="L9" s="6">
        <f>K9-K8</f>
        <v>0</v>
      </c>
    </row>
    <row r="10" spans="1:12" x14ac:dyDescent="0.2">
      <c r="A10" s="2">
        <v>43791</v>
      </c>
      <c r="B10" s="2">
        <v>43797</v>
      </c>
      <c r="C10" s="16" t="s">
        <v>33</v>
      </c>
      <c r="D10" t="s">
        <v>12</v>
      </c>
      <c r="E10" t="s">
        <v>23</v>
      </c>
      <c r="F10">
        <v>50</v>
      </c>
      <c r="H10">
        <v>4</v>
      </c>
      <c r="I10">
        <v>36</v>
      </c>
      <c r="J10">
        <v>1</v>
      </c>
      <c r="K10" s="3">
        <f t="shared" si="2"/>
        <v>2.7777777777777776E-2</v>
      </c>
      <c r="L10" s="5"/>
    </row>
    <row r="11" spans="1:12" x14ac:dyDescent="0.2">
      <c r="A11" s="2">
        <v>43791</v>
      </c>
      <c r="B11" s="2">
        <v>43797</v>
      </c>
      <c r="C11" s="16" t="s">
        <v>33</v>
      </c>
      <c r="D11" t="s">
        <v>12</v>
      </c>
      <c r="E11" t="s">
        <v>23</v>
      </c>
      <c r="F11">
        <v>50</v>
      </c>
      <c r="G11">
        <v>400</v>
      </c>
      <c r="H11">
        <v>4</v>
      </c>
      <c r="I11">
        <v>35</v>
      </c>
      <c r="J11">
        <v>2</v>
      </c>
      <c r="K11" s="3">
        <f t="shared" si="2"/>
        <v>5.7142857142857141E-2</v>
      </c>
      <c r="L11" s="6">
        <f>K11-K10</f>
        <v>2.9365079365079365E-2</v>
      </c>
    </row>
    <row r="12" spans="1:12" x14ac:dyDescent="0.2">
      <c r="A12" s="2">
        <v>43791</v>
      </c>
      <c r="B12" s="2">
        <v>43797</v>
      </c>
      <c r="C12" s="16" t="s">
        <v>33</v>
      </c>
      <c r="D12" t="s">
        <v>12</v>
      </c>
      <c r="E12" t="s">
        <v>23</v>
      </c>
      <c r="F12">
        <v>75</v>
      </c>
      <c r="H12">
        <v>4</v>
      </c>
      <c r="I12">
        <v>24</v>
      </c>
      <c r="J12">
        <v>0</v>
      </c>
      <c r="K12" s="3">
        <f t="shared" si="2"/>
        <v>0</v>
      </c>
      <c r="L12" s="5"/>
    </row>
    <row r="13" spans="1:12" x14ac:dyDescent="0.2">
      <c r="A13" s="2">
        <v>43791</v>
      </c>
      <c r="B13" s="2">
        <v>43797</v>
      </c>
      <c r="C13" s="16" t="s">
        <v>33</v>
      </c>
      <c r="D13" t="s">
        <v>12</v>
      </c>
      <c r="E13" t="s">
        <v>23</v>
      </c>
      <c r="F13">
        <v>75</v>
      </c>
      <c r="G13">
        <v>400</v>
      </c>
      <c r="H13">
        <v>4</v>
      </c>
      <c r="I13">
        <v>24</v>
      </c>
      <c r="J13">
        <v>2</v>
      </c>
      <c r="K13" s="3">
        <f t="shared" si="2"/>
        <v>8.3333333333333329E-2</v>
      </c>
      <c r="L13" s="6">
        <f>K13-K12</f>
        <v>8.3333333333333329E-2</v>
      </c>
    </row>
    <row r="14" spans="1:12" x14ac:dyDescent="0.2">
      <c r="A14" s="2">
        <v>43791</v>
      </c>
      <c r="B14" s="2">
        <v>43797</v>
      </c>
      <c r="C14" s="16" t="s">
        <v>34</v>
      </c>
      <c r="D14" t="s">
        <v>12</v>
      </c>
      <c r="E14" t="s">
        <v>23</v>
      </c>
      <c r="F14">
        <v>50</v>
      </c>
      <c r="H14">
        <v>4</v>
      </c>
      <c r="I14">
        <v>49</v>
      </c>
      <c r="J14">
        <v>49</v>
      </c>
      <c r="K14" s="3">
        <f t="shared" si="2"/>
        <v>1</v>
      </c>
      <c r="L14" s="5"/>
    </row>
    <row r="15" spans="1:12" x14ac:dyDescent="0.2">
      <c r="A15" s="2">
        <v>43791</v>
      </c>
      <c r="B15" s="2">
        <v>43797</v>
      </c>
      <c r="C15" s="16" t="s">
        <v>34</v>
      </c>
      <c r="D15" t="s">
        <v>12</v>
      </c>
      <c r="E15" t="s">
        <v>23</v>
      </c>
      <c r="F15">
        <v>50</v>
      </c>
      <c r="G15">
        <v>400</v>
      </c>
      <c r="H15">
        <v>4</v>
      </c>
      <c r="I15">
        <v>40</v>
      </c>
      <c r="J15">
        <v>40</v>
      </c>
      <c r="K15" s="3">
        <f t="shared" si="2"/>
        <v>1</v>
      </c>
      <c r="L15" s="6">
        <f>K15-K14</f>
        <v>0</v>
      </c>
    </row>
    <row r="16" spans="1:12" x14ac:dyDescent="0.2">
      <c r="A16" s="2">
        <v>43791</v>
      </c>
      <c r="B16" s="2">
        <v>43797</v>
      </c>
      <c r="C16" s="16" t="s">
        <v>34</v>
      </c>
      <c r="D16" t="s">
        <v>12</v>
      </c>
      <c r="E16" t="s">
        <v>23</v>
      </c>
      <c r="F16">
        <v>75</v>
      </c>
      <c r="H16">
        <v>4</v>
      </c>
      <c r="I16">
        <v>44</v>
      </c>
      <c r="J16">
        <v>44</v>
      </c>
      <c r="K16" s="3">
        <f t="shared" si="2"/>
        <v>1</v>
      </c>
      <c r="L16" s="5"/>
    </row>
    <row r="17" spans="1:12" x14ac:dyDescent="0.2">
      <c r="A17" s="2">
        <v>43791</v>
      </c>
      <c r="B17" s="2">
        <v>43797</v>
      </c>
      <c r="C17" s="16" t="s">
        <v>34</v>
      </c>
      <c r="D17" t="s">
        <v>12</v>
      </c>
      <c r="E17" t="s">
        <v>23</v>
      </c>
      <c r="F17">
        <v>75</v>
      </c>
      <c r="G17">
        <v>400</v>
      </c>
      <c r="H17">
        <v>4</v>
      </c>
      <c r="I17">
        <v>50</v>
      </c>
      <c r="J17">
        <v>50</v>
      </c>
      <c r="K17" s="3">
        <f t="shared" si="2"/>
        <v>1</v>
      </c>
      <c r="L17" s="6">
        <f>K17-K16</f>
        <v>0</v>
      </c>
    </row>
    <row r="18" spans="1:12" x14ac:dyDescent="0.2">
      <c r="A18" s="2">
        <v>43791</v>
      </c>
      <c r="B18" s="2">
        <v>43797</v>
      </c>
      <c r="C18" s="16" t="s">
        <v>35</v>
      </c>
      <c r="D18" t="s">
        <v>12</v>
      </c>
      <c r="E18" t="s">
        <v>23</v>
      </c>
      <c r="F18">
        <v>50</v>
      </c>
      <c r="H18">
        <v>4</v>
      </c>
      <c r="I18">
        <v>47</v>
      </c>
      <c r="J18">
        <v>47</v>
      </c>
      <c r="K18" s="3">
        <f t="shared" si="2"/>
        <v>1</v>
      </c>
      <c r="L18" s="5"/>
    </row>
    <row r="19" spans="1:12" x14ac:dyDescent="0.2">
      <c r="A19" s="2">
        <v>43791</v>
      </c>
      <c r="B19" s="2">
        <v>43797</v>
      </c>
      <c r="C19" s="16" t="s">
        <v>35</v>
      </c>
      <c r="D19" t="s">
        <v>12</v>
      </c>
      <c r="E19" t="s">
        <v>23</v>
      </c>
      <c r="F19">
        <v>50</v>
      </c>
      <c r="G19">
        <v>400</v>
      </c>
      <c r="H19">
        <v>4</v>
      </c>
      <c r="I19">
        <v>30</v>
      </c>
      <c r="J19">
        <v>30</v>
      </c>
      <c r="K19" s="3">
        <f t="shared" si="2"/>
        <v>1</v>
      </c>
      <c r="L19" s="6">
        <f>K19-K18</f>
        <v>0</v>
      </c>
    </row>
    <row r="20" spans="1:12" x14ac:dyDescent="0.2">
      <c r="A20" s="2">
        <v>43791</v>
      </c>
      <c r="B20" s="2">
        <v>43797</v>
      </c>
      <c r="C20" s="16" t="s">
        <v>35</v>
      </c>
      <c r="D20" t="s">
        <v>12</v>
      </c>
      <c r="E20" t="s">
        <v>23</v>
      </c>
      <c r="F20">
        <v>75</v>
      </c>
      <c r="H20">
        <v>4</v>
      </c>
      <c r="I20">
        <v>36</v>
      </c>
      <c r="J20">
        <v>36</v>
      </c>
      <c r="K20" s="3">
        <f t="shared" si="2"/>
        <v>1</v>
      </c>
      <c r="L20" s="5"/>
    </row>
    <row r="21" spans="1:12" x14ac:dyDescent="0.2">
      <c r="A21" s="2">
        <v>43791</v>
      </c>
      <c r="B21" s="2">
        <v>43797</v>
      </c>
      <c r="C21" s="16" t="s">
        <v>35</v>
      </c>
      <c r="D21" t="s">
        <v>12</v>
      </c>
      <c r="E21" t="s">
        <v>23</v>
      </c>
      <c r="F21">
        <v>75</v>
      </c>
      <c r="G21">
        <v>400</v>
      </c>
      <c r="H21">
        <v>4</v>
      </c>
      <c r="I21">
        <v>28</v>
      </c>
      <c r="J21">
        <v>28</v>
      </c>
      <c r="K21" s="3">
        <f t="shared" si="2"/>
        <v>1</v>
      </c>
      <c r="L21" s="6">
        <f>K21-K20</f>
        <v>0</v>
      </c>
    </row>
    <row r="22" spans="1:12" x14ac:dyDescent="0.2">
      <c r="A22" s="2">
        <v>43791</v>
      </c>
      <c r="B22" s="2">
        <v>43797</v>
      </c>
      <c r="C22" s="16" t="s">
        <v>36</v>
      </c>
      <c r="D22" t="s">
        <v>12</v>
      </c>
      <c r="E22" t="s">
        <v>23</v>
      </c>
      <c r="F22">
        <v>50</v>
      </c>
      <c r="H22">
        <v>4</v>
      </c>
      <c r="I22">
        <v>36</v>
      </c>
      <c r="J22">
        <v>0</v>
      </c>
      <c r="K22" s="3">
        <f t="shared" si="2"/>
        <v>0</v>
      </c>
      <c r="L22" s="5"/>
    </row>
    <row r="23" spans="1:12" x14ac:dyDescent="0.2">
      <c r="A23" s="2">
        <v>43791</v>
      </c>
      <c r="B23" s="2">
        <v>43797</v>
      </c>
      <c r="C23" s="16" t="s">
        <v>36</v>
      </c>
      <c r="D23" t="s">
        <v>12</v>
      </c>
      <c r="E23" t="s">
        <v>23</v>
      </c>
      <c r="F23">
        <v>50</v>
      </c>
      <c r="G23">
        <v>400</v>
      </c>
      <c r="H23">
        <v>4</v>
      </c>
      <c r="I23">
        <v>42</v>
      </c>
      <c r="J23">
        <v>0</v>
      </c>
      <c r="K23" s="3">
        <f t="shared" si="2"/>
        <v>0</v>
      </c>
      <c r="L23" s="6">
        <f>K23-K22</f>
        <v>0</v>
      </c>
    </row>
    <row r="24" spans="1:12" x14ac:dyDescent="0.2">
      <c r="A24" s="2">
        <v>43791</v>
      </c>
      <c r="B24" s="2">
        <v>43797</v>
      </c>
      <c r="C24" s="16" t="s">
        <v>36</v>
      </c>
      <c r="D24" t="s">
        <v>12</v>
      </c>
      <c r="E24" t="s">
        <v>23</v>
      </c>
      <c r="F24">
        <v>75</v>
      </c>
      <c r="H24">
        <v>4</v>
      </c>
      <c r="I24">
        <v>28</v>
      </c>
      <c r="J24">
        <v>0</v>
      </c>
      <c r="K24" s="3">
        <f t="shared" si="2"/>
        <v>0</v>
      </c>
      <c r="L24" s="5"/>
    </row>
    <row r="25" spans="1:12" x14ac:dyDescent="0.2">
      <c r="A25" s="2">
        <v>43791</v>
      </c>
      <c r="B25" s="2">
        <v>43797</v>
      </c>
      <c r="C25" s="16" t="s">
        <v>36</v>
      </c>
      <c r="D25" t="s">
        <v>12</v>
      </c>
      <c r="E25" t="s">
        <v>23</v>
      </c>
      <c r="F25">
        <v>75</v>
      </c>
      <c r="G25">
        <v>400</v>
      </c>
      <c r="H25">
        <v>4</v>
      </c>
      <c r="I25">
        <v>40</v>
      </c>
      <c r="J25">
        <v>0</v>
      </c>
      <c r="K25" s="3">
        <f t="shared" si="2"/>
        <v>0</v>
      </c>
      <c r="L25" s="6">
        <f>K25-K24</f>
        <v>0</v>
      </c>
    </row>
    <row r="26" spans="1:12" x14ac:dyDescent="0.2">
      <c r="A26" s="2">
        <v>43791</v>
      </c>
      <c r="B26" s="2">
        <v>43797</v>
      </c>
      <c r="C26" s="16" t="s">
        <v>37</v>
      </c>
      <c r="D26" t="s">
        <v>12</v>
      </c>
      <c r="E26" t="s">
        <v>23</v>
      </c>
      <c r="F26">
        <v>50</v>
      </c>
      <c r="H26">
        <v>4</v>
      </c>
      <c r="I26">
        <v>61</v>
      </c>
      <c r="J26">
        <v>0</v>
      </c>
      <c r="K26" s="3">
        <f t="shared" si="2"/>
        <v>0</v>
      </c>
      <c r="L26" s="5"/>
    </row>
    <row r="27" spans="1:12" x14ac:dyDescent="0.2">
      <c r="A27" s="2">
        <v>43791</v>
      </c>
      <c r="B27" s="2">
        <v>43797</v>
      </c>
      <c r="C27" s="16" t="s">
        <v>37</v>
      </c>
      <c r="D27" t="s">
        <v>12</v>
      </c>
      <c r="E27" t="s">
        <v>23</v>
      </c>
      <c r="F27">
        <v>50</v>
      </c>
      <c r="G27">
        <v>400</v>
      </c>
      <c r="H27">
        <v>4</v>
      </c>
      <c r="I27">
        <v>50</v>
      </c>
      <c r="J27">
        <v>0</v>
      </c>
      <c r="K27" s="3">
        <f t="shared" si="2"/>
        <v>0</v>
      </c>
      <c r="L27" s="6">
        <f>K27-K26</f>
        <v>0</v>
      </c>
    </row>
    <row r="28" spans="1:12" x14ac:dyDescent="0.2">
      <c r="A28" s="2">
        <v>43791</v>
      </c>
      <c r="B28" s="2">
        <v>43797</v>
      </c>
      <c r="C28" s="16" t="s">
        <v>37</v>
      </c>
      <c r="D28" t="s">
        <v>12</v>
      </c>
      <c r="E28" t="s">
        <v>23</v>
      </c>
      <c r="F28">
        <v>75</v>
      </c>
      <c r="H28">
        <v>4</v>
      </c>
      <c r="I28">
        <v>54</v>
      </c>
      <c r="J28">
        <v>1</v>
      </c>
      <c r="K28" s="3">
        <f t="shared" si="2"/>
        <v>1.8518518518518517E-2</v>
      </c>
      <c r="L28" s="5"/>
    </row>
    <row r="29" spans="1:12" x14ac:dyDescent="0.2">
      <c r="A29" s="2">
        <v>43791</v>
      </c>
      <c r="B29" s="2">
        <v>43797</v>
      </c>
      <c r="C29" s="16" t="s">
        <v>37</v>
      </c>
      <c r="D29" t="s">
        <v>12</v>
      </c>
      <c r="E29" t="s">
        <v>23</v>
      </c>
      <c r="F29">
        <v>75</v>
      </c>
      <c r="G29">
        <v>400</v>
      </c>
      <c r="H29">
        <v>4</v>
      </c>
      <c r="I29">
        <v>47</v>
      </c>
      <c r="J29">
        <v>6</v>
      </c>
      <c r="K29" s="3">
        <f t="shared" si="2"/>
        <v>0.1276595744680851</v>
      </c>
      <c r="L29" s="6">
        <f>K29-K28</f>
        <v>0.10914105594956658</v>
      </c>
    </row>
    <row r="30" spans="1:12" x14ac:dyDescent="0.2">
      <c r="A30" s="2">
        <v>43791</v>
      </c>
      <c r="B30" s="2">
        <v>43797</v>
      </c>
      <c r="C30" s="16" t="s">
        <v>38</v>
      </c>
      <c r="D30" t="s">
        <v>12</v>
      </c>
      <c r="E30" t="s">
        <v>23</v>
      </c>
      <c r="F30">
        <v>50</v>
      </c>
      <c r="H30">
        <v>4</v>
      </c>
      <c r="I30">
        <v>48</v>
      </c>
      <c r="J30">
        <v>48</v>
      </c>
      <c r="K30" s="3">
        <f t="shared" si="2"/>
        <v>1</v>
      </c>
      <c r="L30" s="5"/>
    </row>
    <row r="31" spans="1:12" x14ac:dyDescent="0.2">
      <c r="A31" s="2">
        <v>43791</v>
      </c>
      <c r="B31" s="2">
        <v>43797</v>
      </c>
      <c r="C31" s="16" t="s">
        <v>38</v>
      </c>
      <c r="D31" t="s">
        <v>12</v>
      </c>
      <c r="E31" t="s">
        <v>23</v>
      </c>
      <c r="F31">
        <v>50</v>
      </c>
      <c r="G31">
        <v>400</v>
      </c>
      <c r="H31">
        <v>4</v>
      </c>
      <c r="I31">
        <v>42</v>
      </c>
      <c r="J31">
        <v>42</v>
      </c>
      <c r="K31" s="3">
        <f t="shared" si="2"/>
        <v>1</v>
      </c>
      <c r="L31" s="6">
        <f>K31-K30</f>
        <v>0</v>
      </c>
    </row>
    <row r="32" spans="1:12" x14ac:dyDescent="0.2">
      <c r="A32" s="2">
        <v>43791</v>
      </c>
      <c r="B32" s="2">
        <v>43797</v>
      </c>
      <c r="C32" s="16" t="s">
        <v>38</v>
      </c>
      <c r="D32" t="s">
        <v>12</v>
      </c>
      <c r="E32" t="s">
        <v>23</v>
      </c>
      <c r="F32">
        <v>75</v>
      </c>
      <c r="H32">
        <v>4</v>
      </c>
      <c r="I32">
        <v>42</v>
      </c>
      <c r="J32">
        <v>42</v>
      </c>
      <c r="K32" s="3">
        <f t="shared" si="2"/>
        <v>1</v>
      </c>
      <c r="L32" s="5"/>
    </row>
    <row r="33" spans="1:12" x14ac:dyDescent="0.2">
      <c r="A33" s="2">
        <v>43791</v>
      </c>
      <c r="B33" s="2">
        <v>43797</v>
      </c>
      <c r="C33" s="16" t="s">
        <v>38</v>
      </c>
      <c r="D33" t="s">
        <v>12</v>
      </c>
      <c r="E33" t="s">
        <v>23</v>
      </c>
      <c r="F33">
        <v>75</v>
      </c>
      <c r="G33">
        <v>400</v>
      </c>
      <c r="H33">
        <v>4</v>
      </c>
      <c r="I33">
        <v>43</v>
      </c>
      <c r="J33">
        <v>43</v>
      </c>
      <c r="K33" s="3">
        <f t="shared" si="2"/>
        <v>1</v>
      </c>
      <c r="L33" s="6">
        <f>K33-K32</f>
        <v>0</v>
      </c>
    </row>
    <row r="34" spans="1:12" x14ac:dyDescent="0.2">
      <c r="A34" s="2">
        <v>43791</v>
      </c>
      <c r="B34" s="2">
        <v>43797</v>
      </c>
      <c r="C34" s="16" t="s">
        <v>39</v>
      </c>
      <c r="D34" t="s">
        <v>12</v>
      </c>
      <c r="E34" t="s">
        <v>23</v>
      </c>
      <c r="F34">
        <v>50</v>
      </c>
      <c r="H34">
        <v>4</v>
      </c>
      <c r="I34">
        <v>34</v>
      </c>
      <c r="J34">
        <v>34</v>
      </c>
      <c r="K34" s="3">
        <f t="shared" si="2"/>
        <v>1</v>
      </c>
      <c r="L34" s="5"/>
    </row>
    <row r="35" spans="1:12" x14ac:dyDescent="0.2">
      <c r="A35" s="2">
        <v>43791</v>
      </c>
      <c r="B35" s="2">
        <v>43797</v>
      </c>
      <c r="C35" s="16" t="s">
        <v>39</v>
      </c>
      <c r="D35" t="s">
        <v>12</v>
      </c>
      <c r="E35" t="s">
        <v>23</v>
      </c>
      <c r="F35">
        <v>50</v>
      </c>
      <c r="G35">
        <v>400</v>
      </c>
      <c r="H35">
        <v>4</v>
      </c>
      <c r="I35">
        <v>30</v>
      </c>
      <c r="J35">
        <v>30</v>
      </c>
      <c r="K35" s="3">
        <f t="shared" si="2"/>
        <v>1</v>
      </c>
      <c r="L35" s="6">
        <f>K35-K34</f>
        <v>0</v>
      </c>
    </row>
    <row r="36" spans="1:12" x14ac:dyDescent="0.2">
      <c r="A36" s="2">
        <v>43791</v>
      </c>
      <c r="B36" s="2">
        <v>43797</v>
      </c>
      <c r="C36" s="16" t="s">
        <v>39</v>
      </c>
      <c r="D36" t="s">
        <v>12</v>
      </c>
      <c r="E36" t="s">
        <v>23</v>
      </c>
      <c r="F36">
        <v>75</v>
      </c>
      <c r="H36">
        <v>4</v>
      </c>
      <c r="I36">
        <v>33</v>
      </c>
      <c r="J36">
        <v>33</v>
      </c>
      <c r="K36" s="3">
        <f t="shared" si="2"/>
        <v>1</v>
      </c>
      <c r="L36" s="5"/>
    </row>
    <row r="37" spans="1:12" x14ac:dyDescent="0.2">
      <c r="A37" s="2">
        <v>43791</v>
      </c>
      <c r="B37" s="2">
        <v>43797</v>
      </c>
      <c r="C37" s="16" t="s">
        <v>39</v>
      </c>
      <c r="D37" t="s">
        <v>12</v>
      </c>
      <c r="E37" t="s">
        <v>23</v>
      </c>
      <c r="F37">
        <v>75</v>
      </c>
      <c r="G37">
        <v>400</v>
      </c>
      <c r="H37">
        <v>4</v>
      </c>
      <c r="I37">
        <v>24</v>
      </c>
      <c r="J37">
        <v>24</v>
      </c>
      <c r="K37" s="3">
        <f t="shared" si="2"/>
        <v>1</v>
      </c>
      <c r="L37" s="6">
        <f>K37-K36</f>
        <v>0</v>
      </c>
    </row>
    <row r="38" spans="1:12" x14ac:dyDescent="0.2">
      <c r="A38" s="2">
        <v>43791</v>
      </c>
      <c r="B38" s="2">
        <v>43797</v>
      </c>
      <c r="C38" s="16" t="s">
        <v>40</v>
      </c>
      <c r="D38" t="s">
        <v>12</v>
      </c>
      <c r="E38" t="s">
        <v>23</v>
      </c>
      <c r="F38">
        <v>50</v>
      </c>
      <c r="H38">
        <v>4</v>
      </c>
      <c r="I38">
        <v>28</v>
      </c>
      <c r="J38">
        <v>6</v>
      </c>
      <c r="K38" s="3">
        <f t="shared" si="2"/>
        <v>0.21428571428571427</v>
      </c>
      <c r="L38" s="5"/>
    </row>
    <row r="39" spans="1:12" x14ac:dyDescent="0.2">
      <c r="A39" s="2">
        <v>43791</v>
      </c>
      <c r="B39" s="2">
        <v>43797</v>
      </c>
      <c r="C39" s="16" t="s">
        <v>40</v>
      </c>
      <c r="D39" t="s">
        <v>12</v>
      </c>
      <c r="E39" t="s">
        <v>23</v>
      </c>
      <c r="F39">
        <v>50</v>
      </c>
      <c r="G39">
        <v>400</v>
      </c>
      <c r="H39">
        <v>4</v>
      </c>
      <c r="I39">
        <v>32</v>
      </c>
      <c r="J39">
        <v>26</v>
      </c>
      <c r="K39" s="3">
        <f t="shared" si="2"/>
        <v>0.8125</v>
      </c>
      <c r="L39" s="6">
        <f>K39-K38</f>
        <v>0.5982142857142857</v>
      </c>
    </row>
    <row r="40" spans="1:12" x14ac:dyDescent="0.2">
      <c r="A40" s="2">
        <v>43791</v>
      </c>
      <c r="B40" s="2">
        <v>43797</v>
      </c>
      <c r="C40" s="16" t="s">
        <v>40</v>
      </c>
      <c r="D40" t="s">
        <v>12</v>
      </c>
      <c r="E40" t="s">
        <v>23</v>
      </c>
      <c r="F40">
        <v>75</v>
      </c>
      <c r="H40">
        <v>4</v>
      </c>
      <c r="I40">
        <v>13</v>
      </c>
      <c r="J40">
        <v>6</v>
      </c>
      <c r="K40" s="3">
        <f t="shared" si="2"/>
        <v>0.46153846153846156</v>
      </c>
      <c r="L40" s="5"/>
    </row>
    <row r="41" spans="1:12" x14ac:dyDescent="0.2">
      <c r="A41" s="2">
        <v>43791</v>
      </c>
      <c r="B41" s="2">
        <v>43797</v>
      </c>
      <c r="C41" s="16" t="s">
        <v>40</v>
      </c>
      <c r="D41" t="s">
        <v>12</v>
      </c>
      <c r="E41" t="s">
        <v>23</v>
      </c>
      <c r="F41">
        <v>75</v>
      </c>
      <c r="G41">
        <v>400</v>
      </c>
      <c r="H41">
        <v>4</v>
      </c>
      <c r="I41">
        <v>24</v>
      </c>
      <c r="J41">
        <v>18</v>
      </c>
      <c r="K41" s="3">
        <f t="shared" si="2"/>
        <v>0.75</v>
      </c>
      <c r="L41" s="6">
        <f>K41-K40</f>
        <v>0.28846153846153844</v>
      </c>
    </row>
    <row r="45" spans="1:12" x14ac:dyDescent="0.2">
      <c r="A45" t="s">
        <v>17</v>
      </c>
    </row>
    <row r="47" spans="1:12" ht="119" x14ac:dyDescent="0.2">
      <c r="A47" s="17" t="s">
        <v>0</v>
      </c>
      <c r="B47" s="17" t="s">
        <v>1</v>
      </c>
      <c r="C47" s="17" t="s">
        <v>2</v>
      </c>
      <c r="D47" s="17" t="s">
        <v>3</v>
      </c>
      <c r="E47" s="17" t="s">
        <v>4</v>
      </c>
      <c r="F47" s="17" t="s">
        <v>5</v>
      </c>
      <c r="G47" s="17" t="s">
        <v>6</v>
      </c>
      <c r="H47" s="17" t="s">
        <v>7</v>
      </c>
      <c r="I47" s="17" t="s">
        <v>8</v>
      </c>
      <c r="J47" s="17" t="s">
        <v>9</v>
      </c>
      <c r="K47" s="17" t="s">
        <v>10</v>
      </c>
    </row>
    <row r="48" spans="1:12" x14ac:dyDescent="0.2">
      <c r="A48" s="18">
        <v>43791</v>
      </c>
      <c r="B48" s="18">
        <v>43797</v>
      </c>
      <c r="C48" s="19">
        <v>796</v>
      </c>
      <c r="D48" s="19" t="s">
        <v>12</v>
      </c>
      <c r="E48" s="19" t="s">
        <v>23</v>
      </c>
      <c r="F48" s="19">
        <v>50</v>
      </c>
      <c r="G48" s="19">
        <v>400</v>
      </c>
      <c r="H48" s="19">
        <v>4</v>
      </c>
      <c r="I48" s="19">
        <v>25</v>
      </c>
      <c r="J48" s="19">
        <v>25</v>
      </c>
      <c r="K48" s="20">
        <v>1</v>
      </c>
    </row>
    <row r="49" spans="1:11" x14ac:dyDescent="0.2">
      <c r="A49" s="18">
        <v>43791</v>
      </c>
      <c r="B49" s="18">
        <v>43797</v>
      </c>
      <c r="C49" s="19">
        <v>796</v>
      </c>
      <c r="D49" s="19" t="s">
        <v>12</v>
      </c>
      <c r="E49" s="19" t="s">
        <v>23</v>
      </c>
      <c r="F49" s="19">
        <v>75</v>
      </c>
      <c r="G49" s="19">
        <v>400</v>
      </c>
      <c r="H49" s="19">
        <v>4</v>
      </c>
      <c r="I49" s="19">
        <v>38</v>
      </c>
      <c r="J49" s="19">
        <v>38</v>
      </c>
      <c r="K49" s="20">
        <v>1</v>
      </c>
    </row>
    <row r="50" spans="1:11" x14ac:dyDescent="0.2">
      <c r="A50" s="18">
        <v>43791</v>
      </c>
      <c r="B50" s="18">
        <v>43797</v>
      </c>
      <c r="C50" s="21" t="s">
        <v>39</v>
      </c>
      <c r="D50" s="19" t="s">
        <v>12</v>
      </c>
      <c r="E50" s="19" t="s">
        <v>23</v>
      </c>
      <c r="F50" s="19">
        <v>50</v>
      </c>
      <c r="G50" s="19">
        <v>400</v>
      </c>
      <c r="H50" s="19">
        <v>4</v>
      </c>
      <c r="I50" s="19">
        <v>30</v>
      </c>
      <c r="J50" s="19">
        <v>30</v>
      </c>
      <c r="K50" s="20">
        <v>1</v>
      </c>
    </row>
    <row r="51" spans="1:11" x14ac:dyDescent="0.2">
      <c r="A51" s="18">
        <v>43791</v>
      </c>
      <c r="B51" s="18">
        <v>43797</v>
      </c>
      <c r="C51" s="21" t="s">
        <v>39</v>
      </c>
      <c r="D51" s="19" t="s">
        <v>12</v>
      </c>
      <c r="E51" s="19" t="s">
        <v>23</v>
      </c>
      <c r="F51" s="19">
        <v>75</v>
      </c>
      <c r="G51" s="19">
        <v>400</v>
      </c>
      <c r="H51" s="19">
        <v>4</v>
      </c>
      <c r="I51" s="19">
        <v>24</v>
      </c>
      <c r="J51" s="19">
        <v>24</v>
      </c>
      <c r="K51" s="20">
        <v>1</v>
      </c>
    </row>
    <row r="52" spans="1:11" x14ac:dyDescent="0.2">
      <c r="A52" s="18">
        <v>43791</v>
      </c>
      <c r="B52" s="18">
        <v>43797</v>
      </c>
      <c r="C52" s="21" t="s">
        <v>33</v>
      </c>
      <c r="D52" s="19" t="s">
        <v>12</v>
      </c>
      <c r="E52" s="19" t="s">
        <v>23</v>
      </c>
      <c r="F52" s="19">
        <v>50</v>
      </c>
      <c r="G52" s="19">
        <v>400</v>
      </c>
      <c r="H52" s="19">
        <v>4</v>
      </c>
      <c r="I52" s="19">
        <v>35</v>
      </c>
      <c r="J52" s="19">
        <v>2</v>
      </c>
      <c r="K52" s="20">
        <v>0.06</v>
      </c>
    </row>
    <row r="53" spans="1:11" x14ac:dyDescent="0.2">
      <c r="A53" s="18">
        <v>43791</v>
      </c>
      <c r="B53" s="18">
        <v>43797</v>
      </c>
      <c r="C53" s="21" t="s">
        <v>33</v>
      </c>
      <c r="D53" s="19" t="s">
        <v>12</v>
      </c>
      <c r="E53" s="19" t="s">
        <v>23</v>
      </c>
      <c r="F53" s="19">
        <v>75</v>
      </c>
      <c r="G53" s="19">
        <v>400</v>
      </c>
      <c r="H53" s="19">
        <v>4</v>
      </c>
      <c r="I53" s="19">
        <v>24</v>
      </c>
      <c r="J53" s="19">
        <v>2</v>
      </c>
      <c r="K53" s="20">
        <v>0.08</v>
      </c>
    </row>
    <row r="54" spans="1:11" x14ac:dyDescent="0.2">
      <c r="A54" s="18">
        <v>43791</v>
      </c>
      <c r="B54" s="18">
        <v>43797</v>
      </c>
      <c r="C54" s="21" t="s">
        <v>32</v>
      </c>
      <c r="D54" s="19" t="s">
        <v>12</v>
      </c>
      <c r="E54" s="19" t="s">
        <v>23</v>
      </c>
      <c r="F54" s="19">
        <v>50</v>
      </c>
      <c r="G54" s="19">
        <v>400</v>
      </c>
      <c r="H54" s="19">
        <v>4</v>
      </c>
      <c r="I54" s="19">
        <v>57</v>
      </c>
      <c r="J54" s="19">
        <v>57</v>
      </c>
      <c r="K54" s="20">
        <v>1</v>
      </c>
    </row>
    <row r="55" spans="1:11" x14ac:dyDescent="0.2">
      <c r="A55" s="18">
        <v>43791</v>
      </c>
      <c r="B55" s="18">
        <v>43797</v>
      </c>
      <c r="C55" s="21" t="s">
        <v>32</v>
      </c>
      <c r="D55" s="19" t="s">
        <v>12</v>
      </c>
      <c r="E55" s="19" t="s">
        <v>23</v>
      </c>
      <c r="F55" s="19">
        <v>75</v>
      </c>
      <c r="G55" s="19">
        <v>400</v>
      </c>
      <c r="H55" s="19">
        <v>4</v>
      </c>
      <c r="I55" s="19">
        <v>27</v>
      </c>
      <c r="J55" s="19">
        <v>27</v>
      </c>
      <c r="K55" s="20">
        <v>1</v>
      </c>
    </row>
    <row r="56" spans="1:11" x14ac:dyDescent="0.2">
      <c r="A56" s="18">
        <v>43791</v>
      </c>
      <c r="B56" s="18">
        <v>43797</v>
      </c>
      <c r="C56" s="21" t="s">
        <v>38</v>
      </c>
      <c r="D56" s="19" t="s">
        <v>12</v>
      </c>
      <c r="E56" s="19" t="s">
        <v>23</v>
      </c>
      <c r="F56" s="19">
        <v>50</v>
      </c>
      <c r="G56" s="19">
        <v>400</v>
      </c>
      <c r="H56" s="19">
        <v>4</v>
      </c>
      <c r="I56" s="19">
        <v>42</v>
      </c>
      <c r="J56" s="19">
        <v>42</v>
      </c>
      <c r="K56" s="20">
        <v>1</v>
      </c>
    </row>
    <row r="57" spans="1:11" x14ac:dyDescent="0.2">
      <c r="A57" s="18">
        <v>43791</v>
      </c>
      <c r="B57" s="18">
        <v>43797</v>
      </c>
      <c r="C57" s="21" t="s">
        <v>38</v>
      </c>
      <c r="D57" s="19" t="s">
        <v>12</v>
      </c>
      <c r="E57" s="19" t="s">
        <v>23</v>
      </c>
      <c r="F57" s="19">
        <v>75</v>
      </c>
      <c r="G57" s="19">
        <v>400</v>
      </c>
      <c r="H57" s="19">
        <v>4</v>
      </c>
      <c r="I57" s="19">
        <v>43</v>
      </c>
      <c r="J57" s="19">
        <v>43</v>
      </c>
      <c r="K57" s="20">
        <v>1</v>
      </c>
    </row>
    <row r="58" spans="1:11" x14ac:dyDescent="0.2">
      <c r="A58" s="18">
        <v>43791</v>
      </c>
      <c r="B58" s="18">
        <v>43797</v>
      </c>
      <c r="C58" s="21" t="s">
        <v>35</v>
      </c>
      <c r="D58" s="19" t="s">
        <v>12</v>
      </c>
      <c r="E58" s="19" t="s">
        <v>23</v>
      </c>
      <c r="F58" s="19">
        <v>50</v>
      </c>
      <c r="G58" s="19">
        <v>400</v>
      </c>
      <c r="H58" s="19">
        <v>4</v>
      </c>
      <c r="I58" s="19">
        <v>30</v>
      </c>
      <c r="J58" s="19">
        <v>30</v>
      </c>
      <c r="K58" s="20">
        <v>1</v>
      </c>
    </row>
    <row r="59" spans="1:11" x14ac:dyDescent="0.2">
      <c r="A59" s="18">
        <v>43791</v>
      </c>
      <c r="B59" s="18">
        <v>43797</v>
      </c>
      <c r="C59" s="21" t="s">
        <v>35</v>
      </c>
      <c r="D59" s="19" t="s">
        <v>12</v>
      </c>
      <c r="E59" s="19" t="s">
        <v>23</v>
      </c>
      <c r="F59" s="19">
        <v>75</v>
      </c>
      <c r="G59" s="19">
        <v>400</v>
      </c>
      <c r="H59" s="19">
        <v>4</v>
      </c>
      <c r="I59" s="19">
        <v>28</v>
      </c>
      <c r="J59" s="19">
        <v>28</v>
      </c>
      <c r="K59" s="20">
        <v>1</v>
      </c>
    </row>
    <row r="60" spans="1:11" x14ac:dyDescent="0.2">
      <c r="A60" s="18">
        <v>43791</v>
      </c>
      <c r="B60" s="18">
        <v>43797</v>
      </c>
      <c r="C60" s="21" t="s">
        <v>34</v>
      </c>
      <c r="D60" s="19" t="s">
        <v>12</v>
      </c>
      <c r="E60" s="19" t="s">
        <v>23</v>
      </c>
      <c r="F60" s="19">
        <v>50</v>
      </c>
      <c r="G60" s="19">
        <v>400</v>
      </c>
      <c r="H60" s="19">
        <v>4</v>
      </c>
      <c r="I60" s="19">
        <v>40</v>
      </c>
      <c r="J60" s="19">
        <v>40</v>
      </c>
      <c r="K60" s="20">
        <v>1</v>
      </c>
    </row>
    <row r="61" spans="1:11" x14ac:dyDescent="0.2">
      <c r="A61" s="18">
        <v>43791</v>
      </c>
      <c r="B61" s="18">
        <v>43797</v>
      </c>
      <c r="C61" s="21" t="s">
        <v>34</v>
      </c>
      <c r="D61" s="19" t="s">
        <v>12</v>
      </c>
      <c r="E61" s="19" t="s">
        <v>23</v>
      </c>
      <c r="F61" s="19">
        <v>75</v>
      </c>
      <c r="G61" s="19">
        <v>400</v>
      </c>
      <c r="H61" s="19">
        <v>4</v>
      </c>
      <c r="I61" s="19">
        <v>50</v>
      </c>
      <c r="J61" s="19">
        <v>50</v>
      </c>
      <c r="K61" s="20">
        <v>1</v>
      </c>
    </row>
    <row r="62" spans="1:11" x14ac:dyDescent="0.2">
      <c r="A62" s="18">
        <v>43791</v>
      </c>
      <c r="B62" s="18">
        <v>43797</v>
      </c>
      <c r="C62" s="21" t="s">
        <v>37</v>
      </c>
      <c r="D62" s="19" t="s">
        <v>12</v>
      </c>
      <c r="E62" s="19" t="s">
        <v>23</v>
      </c>
      <c r="F62" s="19">
        <v>50</v>
      </c>
      <c r="G62" s="19">
        <v>400</v>
      </c>
      <c r="H62" s="19">
        <v>4</v>
      </c>
      <c r="I62" s="19">
        <v>50</v>
      </c>
      <c r="J62" s="19">
        <v>0</v>
      </c>
      <c r="K62" s="20">
        <v>0</v>
      </c>
    </row>
    <row r="63" spans="1:11" x14ac:dyDescent="0.2">
      <c r="A63" s="18">
        <v>43791</v>
      </c>
      <c r="B63" s="18">
        <v>43797</v>
      </c>
      <c r="C63" s="21" t="s">
        <v>37</v>
      </c>
      <c r="D63" s="19" t="s">
        <v>12</v>
      </c>
      <c r="E63" s="19" t="s">
        <v>23</v>
      </c>
      <c r="F63" s="19">
        <v>75</v>
      </c>
      <c r="G63" s="19">
        <v>400</v>
      </c>
      <c r="H63" s="19">
        <v>4</v>
      </c>
      <c r="I63" s="19">
        <v>47</v>
      </c>
      <c r="J63" s="19">
        <v>6</v>
      </c>
      <c r="K63" s="20">
        <v>0.13</v>
      </c>
    </row>
    <row r="64" spans="1:11" x14ac:dyDescent="0.2">
      <c r="A64" s="18">
        <v>43791</v>
      </c>
      <c r="B64" s="18">
        <v>43797</v>
      </c>
      <c r="C64" s="21" t="s">
        <v>36</v>
      </c>
      <c r="D64" s="19" t="s">
        <v>12</v>
      </c>
      <c r="E64" s="19" t="s">
        <v>23</v>
      </c>
      <c r="F64" s="19">
        <v>50</v>
      </c>
      <c r="G64" s="19">
        <v>400</v>
      </c>
      <c r="H64" s="19">
        <v>4</v>
      </c>
      <c r="I64" s="19">
        <v>42</v>
      </c>
      <c r="J64" s="19">
        <v>0</v>
      </c>
      <c r="K64" s="20">
        <v>0</v>
      </c>
    </row>
    <row r="65" spans="1:11" x14ac:dyDescent="0.2">
      <c r="A65" s="18">
        <v>43791</v>
      </c>
      <c r="B65" s="18">
        <v>43797</v>
      </c>
      <c r="C65" s="21" t="s">
        <v>36</v>
      </c>
      <c r="D65" s="19" t="s">
        <v>12</v>
      </c>
      <c r="E65" s="19" t="s">
        <v>23</v>
      </c>
      <c r="F65" s="19">
        <v>75</v>
      </c>
      <c r="G65" s="19">
        <v>400</v>
      </c>
      <c r="H65" s="19">
        <v>4</v>
      </c>
      <c r="I65" s="19">
        <v>40</v>
      </c>
      <c r="J65" s="19">
        <v>0</v>
      </c>
      <c r="K65" s="20">
        <v>0</v>
      </c>
    </row>
    <row r="66" spans="1:11" x14ac:dyDescent="0.2">
      <c r="A66" s="18">
        <v>43791</v>
      </c>
      <c r="B66" s="18">
        <v>43797</v>
      </c>
      <c r="C66" s="21" t="s">
        <v>40</v>
      </c>
      <c r="D66" s="19" t="s">
        <v>12</v>
      </c>
      <c r="E66" s="19" t="s">
        <v>23</v>
      </c>
      <c r="F66" s="19">
        <v>50</v>
      </c>
      <c r="G66" s="19">
        <v>400</v>
      </c>
      <c r="H66" s="19">
        <v>4</v>
      </c>
      <c r="I66" s="19">
        <v>32</v>
      </c>
      <c r="J66" s="19">
        <v>26</v>
      </c>
      <c r="K66" s="20">
        <v>0.81</v>
      </c>
    </row>
    <row r="67" spans="1:11" x14ac:dyDescent="0.2">
      <c r="A67" s="18">
        <v>43791</v>
      </c>
      <c r="B67" s="18">
        <v>43797</v>
      </c>
      <c r="C67" s="21" t="s">
        <v>40</v>
      </c>
      <c r="D67" s="19" t="s">
        <v>12</v>
      </c>
      <c r="E67" s="19" t="s">
        <v>23</v>
      </c>
      <c r="F67" s="19">
        <v>75</v>
      </c>
      <c r="G67" s="19">
        <v>400</v>
      </c>
      <c r="H67" s="19">
        <v>4</v>
      </c>
      <c r="I67" s="19">
        <v>24</v>
      </c>
      <c r="J67" s="19">
        <v>18</v>
      </c>
      <c r="K67" s="20">
        <v>0.75</v>
      </c>
    </row>
    <row r="68" spans="1:11" x14ac:dyDescent="0.2">
      <c r="A68" s="18">
        <v>43791</v>
      </c>
      <c r="B68" s="18">
        <v>43797</v>
      </c>
      <c r="C68" s="19">
        <v>796</v>
      </c>
      <c r="D68" s="19" t="s">
        <v>12</v>
      </c>
      <c r="E68" s="19" t="s">
        <v>23</v>
      </c>
      <c r="F68" s="19">
        <v>50</v>
      </c>
      <c r="G68" s="19"/>
      <c r="H68" s="19">
        <v>4</v>
      </c>
      <c r="I68" s="19">
        <v>33</v>
      </c>
      <c r="J68" s="19">
        <v>33</v>
      </c>
      <c r="K68" s="20">
        <v>1</v>
      </c>
    </row>
    <row r="69" spans="1:11" x14ac:dyDescent="0.2">
      <c r="A69" s="18">
        <v>43791</v>
      </c>
      <c r="B69" s="18">
        <v>43797</v>
      </c>
      <c r="C69" s="19">
        <v>796</v>
      </c>
      <c r="D69" s="19" t="s">
        <v>12</v>
      </c>
      <c r="E69" s="19" t="s">
        <v>23</v>
      </c>
      <c r="F69" s="19">
        <v>75</v>
      </c>
      <c r="G69" s="19"/>
      <c r="H69" s="19">
        <v>4</v>
      </c>
      <c r="I69" s="19">
        <v>34</v>
      </c>
      <c r="J69" s="19">
        <v>34</v>
      </c>
      <c r="K69" s="20">
        <v>1</v>
      </c>
    </row>
    <row r="70" spans="1:11" x14ac:dyDescent="0.2">
      <c r="A70" s="18">
        <v>43791</v>
      </c>
      <c r="B70" s="18">
        <v>43797</v>
      </c>
      <c r="C70" s="21" t="s">
        <v>39</v>
      </c>
      <c r="D70" s="19" t="s">
        <v>12</v>
      </c>
      <c r="E70" s="19" t="s">
        <v>23</v>
      </c>
      <c r="F70" s="19">
        <v>50</v>
      </c>
      <c r="G70" s="19"/>
      <c r="H70" s="19">
        <v>4</v>
      </c>
      <c r="I70" s="19">
        <v>34</v>
      </c>
      <c r="J70" s="19">
        <v>34</v>
      </c>
      <c r="K70" s="20">
        <v>1</v>
      </c>
    </row>
    <row r="71" spans="1:11" x14ac:dyDescent="0.2">
      <c r="A71" s="18">
        <v>43791</v>
      </c>
      <c r="B71" s="18">
        <v>43797</v>
      </c>
      <c r="C71" s="21" t="s">
        <v>39</v>
      </c>
      <c r="D71" s="19" t="s">
        <v>12</v>
      </c>
      <c r="E71" s="19" t="s">
        <v>23</v>
      </c>
      <c r="F71" s="19">
        <v>75</v>
      </c>
      <c r="G71" s="19"/>
      <c r="H71" s="19">
        <v>4</v>
      </c>
      <c r="I71" s="19">
        <v>33</v>
      </c>
      <c r="J71" s="19">
        <v>33</v>
      </c>
      <c r="K71" s="20">
        <v>1</v>
      </c>
    </row>
    <row r="72" spans="1:11" x14ac:dyDescent="0.2">
      <c r="A72" s="18">
        <v>43791</v>
      </c>
      <c r="B72" s="18">
        <v>43797</v>
      </c>
      <c r="C72" s="21" t="s">
        <v>33</v>
      </c>
      <c r="D72" s="19" t="s">
        <v>12</v>
      </c>
      <c r="E72" s="19" t="s">
        <v>23</v>
      </c>
      <c r="F72" s="19">
        <v>50</v>
      </c>
      <c r="G72" s="19"/>
      <c r="H72" s="19">
        <v>4</v>
      </c>
      <c r="I72" s="19">
        <v>36</v>
      </c>
      <c r="J72" s="19">
        <v>1</v>
      </c>
      <c r="K72" s="20">
        <v>0.03</v>
      </c>
    </row>
    <row r="73" spans="1:11" x14ac:dyDescent="0.2">
      <c r="A73" s="18">
        <v>43791</v>
      </c>
      <c r="B73" s="18">
        <v>43797</v>
      </c>
      <c r="C73" s="21" t="s">
        <v>33</v>
      </c>
      <c r="D73" s="19" t="s">
        <v>12</v>
      </c>
      <c r="E73" s="19" t="s">
        <v>23</v>
      </c>
      <c r="F73" s="19">
        <v>75</v>
      </c>
      <c r="G73" s="19"/>
      <c r="H73" s="19">
        <v>4</v>
      </c>
      <c r="I73" s="19">
        <v>24</v>
      </c>
      <c r="J73" s="19">
        <v>0</v>
      </c>
      <c r="K73" s="20">
        <v>0</v>
      </c>
    </row>
    <row r="74" spans="1:11" x14ac:dyDescent="0.2">
      <c r="A74" s="18">
        <v>43791</v>
      </c>
      <c r="B74" s="18">
        <v>43797</v>
      </c>
      <c r="C74" s="21" t="s">
        <v>32</v>
      </c>
      <c r="D74" s="19" t="s">
        <v>12</v>
      </c>
      <c r="E74" s="19" t="s">
        <v>23</v>
      </c>
      <c r="F74" s="19">
        <v>50</v>
      </c>
      <c r="G74" s="19"/>
      <c r="H74" s="19">
        <v>4</v>
      </c>
      <c r="I74" s="19">
        <v>38</v>
      </c>
      <c r="J74" s="19">
        <v>38</v>
      </c>
      <c r="K74" s="20">
        <v>1</v>
      </c>
    </row>
    <row r="75" spans="1:11" x14ac:dyDescent="0.2">
      <c r="A75" s="18">
        <v>43791</v>
      </c>
      <c r="B75" s="18">
        <v>43797</v>
      </c>
      <c r="C75" s="21" t="s">
        <v>32</v>
      </c>
      <c r="D75" s="19" t="s">
        <v>12</v>
      </c>
      <c r="E75" s="19" t="s">
        <v>23</v>
      </c>
      <c r="F75" s="19">
        <v>75</v>
      </c>
      <c r="G75" s="19"/>
      <c r="H75" s="19">
        <v>4</v>
      </c>
      <c r="I75" s="19">
        <v>39</v>
      </c>
      <c r="J75" s="19">
        <v>39</v>
      </c>
      <c r="K75" s="20">
        <v>1</v>
      </c>
    </row>
    <row r="76" spans="1:11" x14ac:dyDescent="0.2">
      <c r="A76" s="18">
        <v>43791</v>
      </c>
      <c r="B76" s="18">
        <v>43797</v>
      </c>
      <c r="C76" s="21" t="s">
        <v>38</v>
      </c>
      <c r="D76" s="19" t="s">
        <v>12</v>
      </c>
      <c r="E76" s="19" t="s">
        <v>23</v>
      </c>
      <c r="F76" s="19">
        <v>50</v>
      </c>
      <c r="G76" s="19"/>
      <c r="H76" s="19">
        <v>4</v>
      </c>
      <c r="I76" s="19">
        <v>48</v>
      </c>
      <c r="J76" s="19">
        <v>48</v>
      </c>
      <c r="K76" s="20">
        <v>1</v>
      </c>
    </row>
    <row r="77" spans="1:11" x14ac:dyDescent="0.2">
      <c r="A77" s="18">
        <v>43791</v>
      </c>
      <c r="B77" s="18">
        <v>43797</v>
      </c>
      <c r="C77" s="21" t="s">
        <v>38</v>
      </c>
      <c r="D77" s="19" t="s">
        <v>12</v>
      </c>
      <c r="E77" s="19" t="s">
        <v>23</v>
      </c>
      <c r="F77" s="19">
        <v>75</v>
      </c>
      <c r="G77" s="19"/>
      <c r="H77" s="19">
        <v>4</v>
      </c>
      <c r="I77" s="19">
        <v>42</v>
      </c>
      <c r="J77" s="19">
        <v>42</v>
      </c>
      <c r="K77" s="20">
        <v>1</v>
      </c>
    </row>
    <row r="78" spans="1:11" x14ac:dyDescent="0.2">
      <c r="A78" s="18">
        <v>43791</v>
      </c>
      <c r="B78" s="18">
        <v>43797</v>
      </c>
      <c r="C78" s="21" t="s">
        <v>35</v>
      </c>
      <c r="D78" s="19" t="s">
        <v>12</v>
      </c>
      <c r="E78" s="19" t="s">
        <v>23</v>
      </c>
      <c r="F78" s="19">
        <v>50</v>
      </c>
      <c r="G78" s="19"/>
      <c r="H78" s="19">
        <v>4</v>
      </c>
      <c r="I78" s="19">
        <v>47</v>
      </c>
      <c r="J78" s="19">
        <v>47</v>
      </c>
      <c r="K78" s="20">
        <v>1</v>
      </c>
    </row>
    <row r="79" spans="1:11" x14ac:dyDescent="0.2">
      <c r="A79" s="18">
        <v>43791</v>
      </c>
      <c r="B79" s="18">
        <v>43797</v>
      </c>
      <c r="C79" s="21" t="s">
        <v>35</v>
      </c>
      <c r="D79" s="19" t="s">
        <v>12</v>
      </c>
      <c r="E79" s="19" t="s">
        <v>23</v>
      </c>
      <c r="F79" s="19">
        <v>75</v>
      </c>
      <c r="G79" s="19"/>
      <c r="H79" s="19">
        <v>4</v>
      </c>
      <c r="I79" s="19">
        <v>36</v>
      </c>
      <c r="J79" s="19">
        <v>36</v>
      </c>
      <c r="K79" s="20">
        <v>1</v>
      </c>
    </row>
    <row r="80" spans="1:11" x14ac:dyDescent="0.2">
      <c r="A80" s="18">
        <v>43791</v>
      </c>
      <c r="B80" s="18">
        <v>43797</v>
      </c>
      <c r="C80" s="21" t="s">
        <v>34</v>
      </c>
      <c r="D80" s="19" t="s">
        <v>12</v>
      </c>
      <c r="E80" s="19" t="s">
        <v>23</v>
      </c>
      <c r="F80" s="19">
        <v>50</v>
      </c>
      <c r="G80" s="19"/>
      <c r="H80" s="19">
        <v>4</v>
      </c>
      <c r="I80" s="19">
        <v>49</v>
      </c>
      <c r="J80" s="19">
        <v>49</v>
      </c>
      <c r="K80" s="20">
        <v>1</v>
      </c>
    </row>
    <row r="81" spans="1:11" x14ac:dyDescent="0.2">
      <c r="A81" s="18">
        <v>43791</v>
      </c>
      <c r="B81" s="18">
        <v>43797</v>
      </c>
      <c r="C81" s="21" t="s">
        <v>34</v>
      </c>
      <c r="D81" s="19" t="s">
        <v>12</v>
      </c>
      <c r="E81" s="19" t="s">
        <v>23</v>
      </c>
      <c r="F81" s="19">
        <v>75</v>
      </c>
      <c r="G81" s="19"/>
      <c r="H81" s="19">
        <v>4</v>
      </c>
      <c r="I81" s="19">
        <v>44</v>
      </c>
      <c r="J81" s="19">
        <v>44</v>
      </c>
      <c r="K81" s="20">
        <v>1</v>
      </c>
    </row>
    <row r="82" spans="1:11" x14ac:dyDescent="0.2">
      <c r="A82" s="18">
        <v>43791</v>
      </c>
      <c r="B82" s="18">
        <v>43797</v>
      </c>
      <c r="C82" s="21" t="s">
        <v>37</v>
      </c>
      <c r="D82" s="19" t="s">
        <v>12</v>
      </c>
      <c r="E82" s="19" t="s">
        <v>23</v>
      </c>
      <c r="F82" s="19">
        <v>50</v>
      </c>
      <c r="G82" s="19"/>
      <c r="H82" s="19">
        <v>4</v>
      </c>
      <c r="I82" s="19">
        <v>61</v>
      </c>
      <c r="J82" s="19">
        <v>0</v>
      </c>
      <c r="K82" s="20">
        <v>0</v>
      </c>
    </row>
    <row r="83" spans="1:11" x14ac:dyDescent="0.2">
      <c r="A83" s="18">
        <v>43791</v>
      </c>
      <c r="B83" s="18">
        <v>43797</v>
      </c>
      <c r="C83" s="21" t="s">
        <v>37</v>
      </c>
      <c r="D83" s="19" t="s">
        <v>12</v>
      </c>
      <c r="E83" s="19" t="s">
        <v>23</v>
      </c>
      <c r="F83" s="19">
        <v>75</v>
      </c>
      <c r="G83" s="19"/>
      <c r="H83" s="19">
        <v>4</v>
      </c>
      <c r="I83" s="19">
        <v>54</v>
      </c>
      <c r="J83" s="19">
        <v>1</v>
      </c>
      <c r="K83" s="20">
        <v>0.02</v>
      </c>
    </row>
    <row r="84" spans="1:11" x14ac:dyDescent="0.2">
      <c r="A84" s="18">
        <v>43791</v>
      </c>
      <c r="B84" s="18">
        <v>43797</v>
      </c>
      <c r="C84" s="21" t="s">
        <v>36</v>
      </c>
      <c r="D84" s="19" t="s">
        <v>12</v>
      </c>
      <c r="E84" s="19" t="s">
        <v>23</v>
      </c>
      <c r="F84" s="19">
        <v>50</v>
      </c>
      <c r="G84" s="19"/>
      <c r="H84" s="19">
        <v>4</v>
      </c>
      <c r="I84" s="19">
        <v>36</v>
      </c>
      <c r="J84" s="19">
        <v>0</v>
      </c>
      <c r="K84" s="20">
        <v>0</v>
      </c>
    </row>
    <row r="85" spans="1:11" x14ac:dyDescent="0.2">
      <c r="A85" s="18">
        <v>43791</v>
      </c>
      <c r="B85" s="18">
        <v>43797</v>
      </c>
      <c r="C85" s="21" t="s">
        <v>36</v>
      </c>
      <c r="D85" s="19" t="s">
        <v>12</v>
      </c>
      <c r="E85" s="19" t="s">
        <v>23</v>
      </c>
      <c r="F85" s="19">
        <v>75</v>
      </c>
      <c r="G85" s="19"/>
      <c r="H85" s="19">
        <v>4</v>
      </c>
      <c r="I85" s="19">
        <v>28</v>
      </c>
      <c r="J85" s="19">
        <v>0</v>
      </c>
      <c r="K85" s="20">
        <v>0</v>
      </c>
    </row>
    <row r="86" spans="1:11" x14ac:dyDescent="0.2">
      <c r="A86" s="18">
        <v>43791</v>
      </c>
      <c r="B86" s="18">
        <v>43797</v>
      </c>
      <c r="C86" s="21" t="s">
        <v>40</v>
      </c>
      <c r="D86" s="19" t="s">
        <v>12</v>
      </c>
      <c r="E86" s="19" t="s">
        <v>23</v>
      </c>
      <c r="F86" s="19">
        <v>50</v>
      </c>
      <c r="G86" s="19"/>
      <c r="H86" s="19">
        <v>4</v>
      </c>
      <c r="I86" s="19">
        <v>28</v>
      </c>
      <c r="J86" s="19">
        <v>6</v>
      </c>
      <c r="K86" s="20">
        <v>0.21</v>
      </c>
    </row>
    <row r="87" spans="1:11" x14ac:dyDescent="0.2">
      <c r="A87" s="18">
        <v>43791</v>
      </c>
      <c r="B87" s="18">
        <v>43797</v>
      </c>
      <c r="C87" s="21" t="s">
        <v>40</v>
      </c>
      <c r="D87" s="19" t="s">
        <v>12</v>
      </c>
      <c r="E87" s="19" t="s">
        <v>23</v>
      </c>
      <c r="F87" s="19">
        <v>75</v>
      </c>
      <c r="G87" s="19"/>
      <c r="H87" s="19">
        <v>4</v>
      </c>
      <c r="I87" s="19">
        <v>13</v>
      </c>
      <c r="J87" s="19">
        <v>6</v>
      </c>
      <c r="K87" s="20">
        <v>0.46</v>
      </c>
    </row>
  </sheetData>
  <sortState xmlns:xlrd2="http://schemas.microsoft.com/office/spreadsheetml/2017/richdata2" ref="A48:K87">
    <sortCondition ref="G48:G87"/>
    <sortCondition ref="C48:C87"/>
    <sortCondition ref="F48:F8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7"/>
  <sheetViews>
    <sheetView workbookViewId="0">
      <selection activeCell="L19" sqref="B1:L19"/>
    </sheetView>
  </sheetViews>
  <sheetFormatPr baseColWidth="10" defaultColWidth="11" defaultRowHeight="16" x14ac:dyDescent="0.2"/>
  <cols>
    <col min="1" max="1" width="44.33203125" customWidth="1"/>
    <col min="2" max="2" width="13.33203125" customWidth="1"/>
    <col min="4" max="4" width="20.83203125" customWidth="1"/>
    <col min="5" max="5" width="22.83203125" customWidth="1"/>
  </cols>
  <sheetData>
    <row r="1" spans="1:16" ht="119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  <c r="M1" s="10"/>
      <c r="N1" s="10"/>
      <c r="O1" s="10"/>
      <c r="P1" s="12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1"/>
      <c r="N2" s="1"/>
      <c r="P2" s="7"/>
    </row>
    <row r="3" spans="1:16" x14ac:dyDescent="0.2">
      <c r="A3" t="s">
        <v>41</v>
      </c>
      <c r="B3" s="2" t="s">
        <v>42</v>
      </c>
      <c r="C3" s="9">
        <v>796</v>
      </c>
      <c r="D3" t="s">
        <v>12</v>
      </c>
      <c r="E3" t="s">
        <v>23</v>
      </c>
      <c r="F3">
        <v>50</v>
      </c>
      <c r="G3">
        <v>0</v>
      </c>
      <c r="H3">
        <v>3</v>
      </c>
      <c r="I3">
        <v>34</v>
      </c>
      <c r="J3">
        <v>1</v>
      </c>
      <c r="K3" s="3">
        <f>J3/I3</f>
        <v>2.9411764705882353E-2</v>
      </c>
      <c r="L3" s="5"/>
      <c r="O3" s="3"/>
      <c r="P3" s="7"/>
    </row>
    <row r="4" spans="1:16" x14ac:dyDescent="0.2">
      <c r="A4" t="s">
        <v>41</v>
      </c>
      <c r="B4" s="2" t="s">
        <v>42</v>
      </c>
      <c r="C4" s="9">
        <v>796</v>
      </c>
      <c r="D4" t="s">
        <v>12</v>
      </c>
      <c r="E4" t="s">
        <v>23</v>
      </c>
      <c r="F4">
        <v>50</v>
      </c>
      <c r="G4">
        <v>400</v>
      </c>
      <c r="H4">
        <v>3</v>
      </c>
      <c r="I4">
        <v>24</v>
      </c>
      <c r="J4">
        <v>0</v>
      </c>
      <c r="K4" s="3">
        <f t="shared" ref="K4" si="0">J4/I4</f>
        <v>0</v>
      </c>
      <c r="L4" s="6">
        <f>K4-K3</f>
        <v>-2.9411764705882353E-2</v>
      </c>
      <c r="O4" s="3"/>
      <c r="P4" s="8"/>
    </row>
    <row r="5" spans="1:16" x14ac:dyDescent="0.2">
      <c r="A5" t="s">
        <v>41</v>
      </c>
      <c r="B5" s="2" t="s">
        <v>42</v>
      </c>
      <c r="C5" s="9">
        <v>796</v>
      </c>
      <c r="D5" t="s">
        <v>12</v>
      </c>
      <c r="E5" t="s">
        <v>23</v>
      </c>
      <c r="F5">
        <v>75</v>
      </c>
      <c r="G5">
        <v>0</v>
      </c>
      <c r="H5">
        <v>3</v>
      </c>
      <c r="I5">
        <v>28</v>
      </c>
      <c r="J5">
        <v>0</v>
      </c>
      <c r="K5" s="3">
        <f>J5/I5</f>
        <v>0</v>
      </c>
      <c r="L5" s="5"/>
    </row>
    <row r="6" spans="1:16" x14ac:dyDescent="0.2">
      <c r="A6" t="s">
        <v>41</v>
      </c>
      <c r="B6" s="2" t="s">
        <v>42</v>
      </c>
      <c r="C6" s="9">
        <v>796</v>
      </c>
      <c r="D6" t="s">
        <v>12</v>
      </c>
      <c r="E6" t="s">
        <v>23</v>
      </c>
      <c r="F6">
        <v>75</v>
      </c>
      <c r="G6">
        <v>400</v>
      </c>
      <c r="H6">
        <v>3</v>
      </c>
      <c r="I6">
        <v>25</v>
      </c>
      <c r="J6">
        <v>0</v>
      </c>
      <c r="K6" s="3">
        <f t="shared" ref="K6" si="1">J6/I6</f>
        <v>0</v>
      </c>
      <c r="L6" s="6">
        <f>K6-K5</f>
        <v>0</v>
      </c>
    </row>
    <row r="7" spans="1:16" x14ac:dyDescent="0.2">
      <c r="A7" t="s">
        <v>41</v>
      </c>
      <c r="B7" s="2" t="s">
        <v>42</v>
      </c>
      <c r="C7" s="9">
        <v>796</v>
      </c>
      <c r="D7" t="s">
        <v>43</v>
      </c>
      <c r="E7" t="s">
        <v>23</v>
      </c>
      <c r="F7">
        <v>50</v>
      </c>
      <c r="G7">
        <v>0</v>
      </c>
      <c r="H7">
        <v>3</v>
      </c>
      <c r="I7">
        <v>30</v>
      </c>
      <c r="J7">
        <v>20</v>
      </c>
      <c r="K7" s="3">
        <f>J7/I7</f>
        <v>0.66666666666666663</v>
      </c>
      <c r="L7" s="5"/>
    </row>
    <row r="8" spans="1:16" x14ac:dyDescent="0.2">
      <c r="A8" t="s">
        <v>41</v>
      </c>
      <c r="B8" s="2" t="s">
        <v>42</v>
      </c>
      <c r="C8" s="9">
        <v>796</v>
      </c>
      <c r="D8" t="s">
        <v>43</v>
      </c>
      <c r="E8" t="s">
        <v>23</v>
      </c>
      <c r="F8">
        <v>50</v>
      </c>
      <c r="G8">
        <v>400</v>
      </c>
      <c r="H8">
        <v>3</v>
      </c>
      <c r="I8">
        <v>38</v>
      </c>
      <c r="J8">
        <v>0</v>
      </c>
      <c r="K8" s="3">
        <f t="shared" ref="K8" si="2">J8/I8</f>
        <v>0</v>
      </c>
      <c r="L8" s="6">
        <f>K8-K7</f>
        <v>-0.66666666666666663</v>
      </c>
    </row>
    <row r="9" spans="1:16" x14ac:dyDescent="0.2">
      <c r="A9" t="s">
        <v>41</v>
      </c>
      <c r="B9" s="2" t="s">
        <v>42</v>
      </c>
      <c r="C9" s="9">
        <v>796</v>
      </c>
      <c r="D9" t="s">
        <v>43</v>
      </c>
      <c r="E9" t="s">
        <v>23</v>
      </c>
      <c r="F9">
        <v>75</v>
      </c>
      <c r="G9">
        <v>0</v>
      </c>
      <c r="H9">
        <v>3</v>
      </c>
      <c r="I9">
        <v>34</v>
      </c>
      <c r="J9">
        <v>0</v>
      </c>
      <c r="K9" s="3">
        <f>J9/I9</f>
        <v>0</v>
      </c>
      <c r="L9" s="5"/>
    </row>
    <row r="10" spans="1:16" x14ac:dyDescent="0.2">
      <c r="A10" t="s">
        <v>41</v>
      </c>
      <c r="B10" s="2" t="s">
        <v>42</v>
      </c>
      <c r="C10" s="9">
        <v>796</v>
      </c>
      <c r="D10" t="s">
        <v>43</v>
      </c>
      <c r="E10" t="s">
        <v>23</v>
      </c>
      <c r="F10">
        <v>75</v>
      </c>
      <c r="G10">
        <v>400</v>
      </c>
      <c r="H10">
        <v>3</v>
      </c>
      <c r="I10">
        <v>42</v>
      </c>
      <c r="J10">
        <v>0</v>
      </c>
      <c r="K10" s="3">
        <f t="shared" ref="K10" si="3">J10/I10</f>
        <v>0</v>
      </c>
      <c r="L10" s="6">
        <f>K10-K9</f>
        <v>0</v>
      </c>
    </row>
    <row r="11" spans="1:16" x14ac:dyDescent="0.2">
      <c r="A11" t="s">
        <v>41</v>
      </c>
      <c r="B11" s="2" t="s">
        <v>42</v>
      </c>
      <c r="C11" s="9">
        <v>796</v>
      </c>
      <c r="D11" t="s">
        <v>44</v>
      </c>
      <c r="E11" t="s">
        <v>23</v>
      </c>
      <c r="F11">
        <v>50</v>
      </c>
      <c r="G11">
        <v>0</v>
      </c>
      <c r="H11">
        <v>3</v>
      </c>
      <c r="I11">
        <v>19</v>
      </c>
      <c r="J11">
        <v>0</v>
      </c>
      <c r="K11" s="3">
        <f>J11/I11</f>
        <v>0</v>
      </c>
      <c r="L11" s="5"/>
    </row>
    <row r="12" spans="1:16" x14ac:dyDescent="0.2">
      <c r="A12" t="s">
        <v>41</v>
      </c>
      <c r="B12" s="2" t="s">
        <v>42</v>
      </c>
      <c r="C12" s="9">
        <v>796</v>
      </c>
      <c r="D12" t="s">
        <v>44</v>
      </c>
      <c r="E12" t="s">
        <v>23</v>
      </c>
      <c r="F12">
        <v>50</v>
      </c>
      <c r="G12">
        <v>400</v>
      </c>
      <c r="H12">
        <v>3</v>
      </c>
      <c r="I12">
        <v>36</v>
      </c>
      <c r="J12">
        <v>2</v>
      </c>
      <c r="K12" s="3">
        <f t="shared" ref="K12" si="4">J12/I12</f>
        <v>5.5555555555555552E-2</v>
      </c>
      <c r="L12" s="6">
        <f>K12-K11</f>
        <v>5.5555555555555552E-2</v>
      </c>
    </row>
    <row r="13" spans="1:16" x14ac:dyDescent="0.2">
      <c r="A13" t="s">
        <v>41</v>
      </c>
      <c r="B13" s="2" t="s">
        <v>42</v>
      </c>
      <c r="C13" s="9">
        <v>796</v>
      </c>
      <c r="D13" t="s">
        <v>44</v>
      </c>
      <c r="E13" t="s">
        <v>23</v>
      </c>
      <c r="F13">
        <v>75</v>
      </c>
      <c r="G13">
        <v>0</v>
      </c>
      <c r="H13">
        <v>3</v>
      </c>
      <c r="I13">
        <v>27</v>
      </c>
      <c r="J13">
        <v>0</v>
      </c>
      <c r="K13" s="3">
        <f>J13/I13</f>
        <v>0</v>
      </c>
      <c r="L13" s="5"/>
    </row>
    <row r="14" spans="1:16" x14ac:dyDescent="0.2">
      <c r="A14" t="s">
        <v>41</v>
      </c>
      <c r="B14" s="2" t="s">
        <v>42</v>
      </c>
      <c r="C14" s="9">
        <v>796</v>
      </c>
      <c r="D14" t="s">
        <v>44</v>
      </c>
      <c r="E14" t="s">
        <v>23</v>
      </c>
      <c r="F14">
        <v>75</v>
      </c>
      <c r="G14">
        <v>400</v>
      </c>
      <c r="H14">
        <v>3</v>
      </c>
      <c r="I14">
        <v>29</v>
      </c>
      <c r="J14">
        <v>3</v>
      </c>
      <c r="K14" s="3">
        <f t="shared" ref="K14" si="5">J14/I14</f>
        <v>0.10344827586206896</v>
      </c>
      <c r="L14" s="6">
        <f>K14-K13</f>
        <v>0.10344827586206896</v>
      </c>
    </row>
    <row r="15" spans="1:16" x14ac:dyDescent="0.2">
      <c r="B15" s="2"/>
      <c r="C15" s="9"/>
      <c r="K15" s="3"/>
      <c r="L15" s="6"/>
    </row>
    <row r="16" spans="1:16" x14ac:dyDescent="0.2">
      <c r="A16" t="s">
        <v>41</v>
      </c>
      <c r="B16" s="2" t="s">
        <v>45</v>
      </c>
      <c r="C16" s="9">
        <v>796</v>
      </c>
      <c r="D16" t="s">
        <v>12</v>
      </c>
      <c r="E16" t="s">
        <v>23</v>
      </c>
      <c r="F16">
        <v>50</v>
      </c>
      <c r="G16">
        <v>0</v>
      </c>
      <c r="H16">
        <v>4</v>
      </c>
      <c r="I16">
        <v>24</v>
      </c>
      <c r="J16">
        <v>24</v>
      </c>
      <c r="K16" s="3">
        <f>J16/I16</f>
        <v>1</v>
      </c>
      <c r="L16" s="5"/>
      <c r="O16" s="3"/>
      <c r="P16" s="7"/>
    </row>
    <row r="17" spans="1:16" x14ac:dyDescent="0.2">
      <c r="A17" t="s">
        <v>41</v>
      </c>
      <c r="B17" s="2" t="s">
        <v>45</v>
      </c>
      <c r="C17" s="9">
        <v>796</v>
      </c>
      <c r="D17" t="s">
        <v>12</v>
      </c>
      <c r="E17" t="s">
        <v>23</v>
      </c>
      <c r="F17">
        <v>50</v>
      </c>
      <c r="G17">
        <v>400</v>
      </c>
      <c r="H17">
        <v>4</v>
      </c>
      <c r="I17">
        <v>19</v>
      </c>
      <c r="J17">
        <v>19</v>
      </c>
      <c r="K17" s="3">
        <f t="shared" ref="K17" si="6">J17/I17</f>
        <v>1</v>
      </c>
      <c r="L17" s="6">
        <f>K17-K16</f>
        <v>0</v>
      </c>
      <c r="O17" s="3"/>
      <c r="P17" s="8"/>
    </row>
    <row r="18" spans="1:16" x14ac:dyDescent="0.2">
      <c r="A18" t="s">
        <v>41</v>
      </c>
      <c r="B18" s="2" t="s">
        <v>45</v>
      </c>
      <c r="C18" s="9">
        <v>796</v>
      </c>
      <c r="D18" t="s">
        <v>12</v>
      </c>
      <c r="E18" t="s">
        <v>23</v>
      </c>
      <c r="F18">
        <v>75</v>
      </c>
      <c r="G18">
        <v>0</v>
      </c>
      <c r="H18">
        <v>4</v>
      </c>
      <c r="I18">
        <v>24</v>
      </c>
      <c r="J18">
        <v>24</v>
      </c>
      <c r="K18" s="3">
        <f>J18/I18</f>
        <v>1</v>
      </c>
      <c r="L18" s="5"/>
    </row>
    <row r="19" spans="1:16" x14ac:dyDescent="0.2">
      <c r="A19" t="s">
        <v>41</v>
      </c>
      <c r="B19" s="2" t="s">
        <v>45</v>
      </c>
      <c r="C19" s="9">
        <v>796</v>
      </c>
      <c r="D19" t="s">
        <v>12</v>
      </c>
      <c r="E19" t="s">
        <v>23</v>
      </c>
      <c r="F19">
        <v>75</v>
      </c>
      <c r="G19">
        <v>400</v>
      </c>
      <c r="H19">
        <v>4</v>
      </c>
      <c r="I19">
        <v>26</v>
      </c>
      <c r="J19">
        <v>26</v>
      </c>
      <c r="K19" s="3">
        <f t="shared" ref="K19" si="7">J19/I19</f>
        <v>1</v>
      </c>
      <c r="L19" s="6">
        <f>K19-K18</f>
        <v>0</v>
      </c>
    </row>
    <row r="20" spans="1:16" x14ac:dyDescent="0.2">
      <c r="B20" s="2"/>
    </row>
    <row r="21" spans="1:16" x14ac:dyDescent="0.2">
      <c r="A21" t="s">
        <v>41</v>
      </c>
      <c r="B21" s="2" t="s">
        <v>45</v>
      </c>
      <c r="C21" t="s">
        <v>46</v>
      </c>
      <c r="D21" t="s">
        <v>12</v>
      </c>
      <c r="E21" t="s">
        <v>23</v>
      </c>
      <c r="F21">
        <v>50</v>
      </c>
      <c r="G21">
        <v>0</v>
      </c>
      <c r="H21">
        <v>4</v>
      </c>
      <c r="I21">
        <v>56</v>
      </c>
      <c r="J21">
        <v>0</v>
      </c>
      <c r="K21" s="3">
        <f>J21/I21</f>
        <v>0</v>
      </c>
      <c r="L21" s="5"/>
    </row>
    <row r="22" spans="1:16" x14ac:dyDescent="0.2">
      <c r="A22" t="s">
        <v>41</v>
      </c>
      <c r="B22" s="2" t="s">
        <v>45</v>
      </c>
      <c r="C22" t="s">
        <v>46</v>
      </c>
      <c r="D22" t="s">
        <v>12</v>
      </c>
      <c r="E22" t="s">
        <v>23</v>
      </c>
      <c r="F22">
        <v>50</v>
      </c>
      <c r="G22">
        <v>400</v>
      </c>
      <c r="H22">
        <v>4</v>
      </c>
      <c r="I22">
        <v>49</v>
      </c>
      <c r="J22">
        <v>45</v>
      </c>
      <c r="K22" s="3">
        <f t="shared" ref="K22" si="8">J22/I22</f>
        <v>0.91836734693877553</v>
      </c>
      <c r="L22" s="6">
        <f>K22-K21</f>
        <v>0.91836734693877553</v>
      </c>
    </row>
    <row r="23" spans="1:16" x14ac:dyDescent="0.2">
      <c r="A23" t="s">
        <v>41</v>
      </c>
      <c r="B23" s="2" t="s">
        <v>45</v>
      </c>
      <c r="C23" t="s">
        <v>46</v>
      </c>
      <c r="D23" t="s">
        <v>12</v>
      </c>
      <c r="E23" t="s">
        <v>23</v>
      </c>
      <c r="F23">
        <v>75</v>
      </c>
      <c r="G23">
        <v>0</v>
      </c>
      <c r="H23">
        <v>4</v>
      </c>
      <c r="I23">
        <v>42</v>
      </c>
      <c r="J23">
        <v>0</v>
      </c>
      <c r="K23" s="3">
        <f>J23/I23</f>
        <v>0</v>
      </c>
      <c r="L23" s="5"/>
    </row>
    <row r="24" spans="1:16" x14ac:dyDescent="0.2">
      <c r="A24" t="s">
        <v>41</v>
      </c>
      <c r="B24" s="2" t="s">
        <v>45</v>
      </c>
      <c r="C24" t="s">
        <v>46</v>
      </c>
      <c r="D24" t="s">
        <v>12</v>
      </c>
      <c r="E24" t="s">
        <v>23</v>
      </c>
      <c r="F24">
        <v>75</v>
      </c>
      <c r="G24">
        <v>400</v>
      </c>
      <c r="H24">
        <v>4</v>
      </c>
      <c r="I24">
        <v>29</v>
      </c>
      <c r="J24">
        <v>15</v>
      </c>
      <c r="K24" s="3">
        <f t="shared" ref="K24" si="9">J24/I24</f>
        <v>0.51724137931034486</v>
      </c>
      <c r="L24" s="6">
        <f>K24-K23</f>
        <v>0.51724137931034486</v>
      </c>
    </row>
    <row r="25" spans="1:16" x14ac:dyDescent="0.2">
      <c r="B25" s="2"/>
    </row>
    <row r="26" spans="1:16" x14ac:dyDescent="0.2">
      <c r="A26" t="s">
        <v>41</v>
      </c>
      <c r="B26" s="2" t="s">
        <v>45</v>
      </c>
      <c r="C26" t="s">
        <v>47</v>
      </c>
      <c r="D26" t="s">
        <v>12</v>
      </c>
      <c r="E26" t="s">
        <v>23</v>
      </c>
      <c r="F26">
        <v>50</v>
      </c>
      <c r="G26">
        <v>0</v>
      </c>
      <c r="H26">
        <v>4</v>
      </c>
      <c r="I26">
        <v>31</v>
      </c>
      <c r="J26">
        <v>4</v>
      </c>
      <c r="K26" s="3">
        <f>J26/I26</f>
        <v>0.12903225806451613</v>
      </c>
      <c r="L26" s="5"/>
    </row>
    <row r="27" spans="1:16" x14ac:dyDescent="0.2">
      <c r="A27" t="s">
        <v>41</v>
      </c>
      <c r="B27" s="2" t="s">
        <v>45</v>
      </c>
      <c r="C27" t="s">
        <v>47</v>
      </c>
      <c r="D27" t="s">
        <v>12</v>
      </c>
      <c r="E27" t="s">
        <v>23</v>
      </c>
      <c r="F27">
        <v>50</v>
      </c>
      <c r="G27">
        <v>400</v>
      </c>
      <c r="H27">
        <v>4</v>
      </c>
      <c r="I27">
        <v>37</v>
      </c>
      <c r="J27">
        <v>20</v>
      </c>
      <c r="K27" s="3">
        <f t="shared" ref="K27" si="10">J27/I27</f>
        <v>0.54054054054054057</v>
      </c>
      <c r="L27" s="6">
        <f>K27-K26</f>
        <v>0.41150828247602445</v>
      </c>
    </row>
    <row r="28" spans="1:16" x14ac:dyDescent="0.2">
      <c r="A28" t="s">
        <v>41</v>
      </c>
      <c r="B28" s="2" t="s">
        <v>45</v>
      </c>
      <c r="C28" t="s">
        <v>47</v>
      </c>
      <c r="D28" t="s">
        <v>12</v>
      </c>
      <c r="E28" t="s">
        <v>23</v>
      </c>
      <c r="F28">
        <v>75</v>
      </c>
      <c r="G28">
        <v>0</v>
      </c>
      <c r="H28">
        <v>4</v>
      </c>
      <c r="I28">
        <v>27</v>
      </c>
      <c r="J28">
        <v>20</v>
      </c>
      <c r="K28" s="3">
        <f>J28/I28</f>
        <v>0.7407407407407407</v>
      </c>
      <c r="L28" s="5"/>
    </row>
    <row r="29" spans="1:16" x14ac:dyDescent="0.2">
      <c r="A29" t="s">
        <v>41</v>
      </c>
      <c r="B29" s="2" t="s">
        <v>45</v>
      </c>
      <c r="C29" t="s">
        <v>47</v>
      </c>
      <c r="D29" t="s">
        <v>12</v>
      </c>
      <c r="E29" t="s">
        <v>23</v>
      </c>
      <c r="F29">
        <v>75</v>
      </c>
      <c r="G29">
        <v>400</v>
      </c>
      <c r="H29">
        <v>4</v>
      </c>
      <c r="I29">
        <v>33</v>
      </c>
      <c r="J29">
        <v>25</v>
      </c>
      <c r="K29" s="3">
        <f t="shared" ref="K29" si="11">J29/I29</f>
        <v>0.75757575757575757</v>
      </c>
      <c r="L29" s="6">
        <f>K29-K28</f>
        <v>1.6835016835016869E-2</v>
      </c>
    </row>
    <row r="30" spans="1:16" x14ac:dyDescent="0.2">
      <c r="A30" t="s">
        <v>41</v>
      </c>
      <c r="B30" s="2"/>
    </row>
    <row r="31" spans="1:16" x14ac:dyDescent="0.2">
      <c r="A31" t="s">
        <v>41</v>
      </c>
      <c r="B31" s="2" t="s">
        <v>45</v>
      </c>
      <c r="C31" t="s">
        <v>48</v>
      </c>
      <c r="D31" t="s">
        <v>12</v>
      </c>
      <c r="E31" t="s">
        <v>23</v>
      </c>
      <c r="F31">
        <v>50</v>
      </c>
      <c r="G31">
        <v>0</v>
      </c>
      <c r="H31">
        <v>4</v>
      </c>
      <c r="I31">
        <v>40</v>
      </c>
      <c r="J31">
        <v>25</v>
      </c>
      <c r="K31" s="3">
        <f>J31/I31</f>
        <v>0.625</v>
      </c>
      <c r="L31" s="5"/>
    </row>
    <row r="32" spans="1:16" x14ac:dyDescent="0.2">
      <c r="A32" t="s">
        <v>41</v>
      </c>
      <c r="B32" s="2" t="s">
        <v>45</v>
      </c>
      <c r="C32" t="s">
        <v>48</v>
      </c>
      <c r="D32" t="s">
        <v>12</v>
      </c>
      <c r="E32" t="s">
        <v>23</v>
      </c>
      <c r="F32">
        <v>50</v>
      </c>
      <c r="G32">
        <v>400</v>
      </c>
      <c r="H32">
        <v>4</v>
      </c>
      <c r="I32">
        <v>54</v>
      </c>
      <c r="J32">
        <v>54</v>
      </c>
      <c r="K32" s="3">
        <f t="shared" ref="K32" si="12">J32/I32</f>
        <v>1</v>
      </c>
      <c r="L32" s="6">
        <f>K32-K31</f>
        <v>0.375</v>
      </c>
    </row>
    <row r="33" spans="1:12" x14ac:dyDescent="0.2">
      <c r="A33" t="s">
        <v>41</v>
      </c>
      <c r="B33" s="2" t="s">
        <v>45</v>
      </c>
      <c r="C33" t="s">
        <v>48</v>
      </c>
      <c r="D33" t="s">
        <v>12</v>
      </c>
      <c r="E33" t="s">
        <v>23</v>
      </c>
      <c r="F33">
        <v>75</v>
      </c>
      <c r="G33">
        <v>0</v>
      </c>
      <c r="H33">
        <v>4</v>
      </c>
      <c r="I33">
        <v>33</v>
      </c>
      <c r="J33">
        <v>33</v>
      </c>
      <c r="K33" s="3">
        <f>J33/I33</f>
        <v>1</v>
      </c>
      <c r="L33" s="5"/>
    </row>
    <row r="34" spans="1:12" x14ac:dyDescent="0.2">
      <c r="A34" t="s">
        <v>41</v>
      </c>
      <c r="B34" s="2" t="s">
        <v>45</v>
      </c>
      <c r="C34" t="s">
        <v>48</v>
      </c>
      <c r="D34" t="s">
        <v>12</v>
      </c>
      <c r="E34" t="s">
        <v>23</v>
      </c>
      <c r="F34">
        <v>75</v>
      </c>
      <c r="G34">
        <v>400</v>
      </c>
      <c r="H34">
        <v>4</v>
      </c>
      <c r="I34">
        <v>43</v>
      </c>
      <c r="J34">
        <v>23</v>
      </c>
      <c r="K34" s="3">
        <f t="shared" ref="K34" si="13">J34/I34</f>
        <v>0.53488372093023251</v>
      </c>
      <c r="L34" s="6">
        <f>K34-K33</f>
        <v>-0.46511627906976749</v>
      </c>
    </row>
    <row r="35" spans="1:12" x14ac:dyDescent="0.2">
      <c r="A35" t="s">
        <v>41</v>
      </c>
      <c r="B35" s="2"/>
      <c r="H35">
        <v>4</v>
      </c>
    </row>
    <row r="36" spans="1:12" x14ac:dyDescent="0.2">
      <c r="A36" t="s">
        <v>41</v>
      </c>
      <c r="B36" s="2" t="s">
        <v>45</v>
      </c>
      <c r="C36" t="s">
        <v>49</v>
      </c>
      <c r="D36" t="s">
        <v>12</v>
      </c>
      <c r="E36" t="s">
        <v>23</v>
      </c>
      <c r="F36">
        <v>50</v>
      </c>
      <c r="G36">
        <v>0</v>
      </c>
      <c r="H36">
        <v>4</v>
      </c>
      <c r="I36">
        <v>46</v>
      </c>
      <c r="J36">
        <v>0</v>
      </c>
      <c r="K36" s="3">
        <f>J36/I36</f>
        <v>0</v>
      </c>
      <c r="L36" s="5"/>
    </row>
    <row r="37" spans="1:12" x14ac:dyDescent="0.2">
      <c r="A37" t="s">
        <v>41</v>
      </c>
      <c r="B37" s="2" t="s">
        <v>45</v>
      </c>
      <c r="C37" t="s">
        <v>49</v>
      </c>
      <c r="D37" t="s">
        <v>12</v>
      </c>
      <c r="E37" t="s">
        <v>23</v>
      </c>
      <c r="F37">
        <v>50</v>
      </c>
      <c r="G37">
        <v>400</v>
      </c>
      <c r="H37">
        <v>4</v>
      </c>
      <c r="I37">
        <v>40</v>
      </c>
      <c r="J37">
        <v>30</v>
      </c>
      <c r="K37" s="3">
        <f t="shared" ref="K37" si="14">J37/I37</f>
        <v>0.75</v>
      </c>
      <c r="L37" s="6">
        <f>K37-K36</f>
        <v>0.75</v>
      </c>
    </row>
    <row r="38" spans="1:12" x14ac:dyDescent="0.2">
      <c r="A38" t="s">
        <v>41</v>
      </c>
      <c r="B38" s="2" t="s">
        <v>45</v>
      </c>
      <c r="C38" t="s">
        <v>49</v>
      </c>
      <c r="D38" t="s">
        <v>12</v>
      </c>
      <c r="E38" t="s">
        <v>23</v>
      </c>
      <c r="F38">
        <v>75</v>
      </c>
      <c r="G38">
        <v>0</v>
      </c>
      <c r="H38">
        <v>4</v>
      </c>
      <c r="I38">
        <v>37</v>
      </c>
      <c r="J38">
        <v>37</v>
      </c>
      <c r="K38" s="3">
        <f>J38/I38</f>
        <v>1</v>
      </c>
      <c r="L38" s="5"/>
    </row>
    <row r="39" spans="1:12" x14ac:dyDescent="0.2">
      <c r="A39" t="s">
        <v>41</v>
      </c>
      <c r="B39" s="2" t="s">
        <v>45</v>
      </c>
      <c r="C39" t="s">
        <v>49</v>
      </c>
      <c r="D39" t="s">
        <v>12</v>
      </c>
      <c r="E39" t="s">
        <v>23</v>
      </c>
      <c r="F39">
        <v>75</v>
      </c>
      <c r="G39">
        <v>400</v>
      </c>
      <c r="H39">
        <v>4</v>
      </c>
      <c r="I39">
        <v>42</v>
      </c>
      <c r="J39">
        <v>21</v>
      </c>
      <c r="K39" s="3">
        <f t="shared" ref="K39" si="15">J39/I39</f>
        <v>0.5</v>
      </c>
      <c r="L39" s="6">
        <f>K39-K38</f>
        <v>-0.5</v>
      </c>
    </row>
    <row r="40" spans="1:12" x14ac:dyDescent="0.2">
      <c r="A40" t="s">
        <v>41</v>
      </c>
      <c r="B40" s="2"/>
    </row>
    <row r="41" spans="1:12" x14ac:dyDescent="0.2">
      <c r="A41" t="s">
        <v>41</v>
      </c>
      <c r="B41" s="2" t="s">
        <v>45</v>
      </c>
      <c r="C41" t="s">
        <v>50</v>
      </c>
      <c r="D41" t="s">
        <v>12</v>
      </c>
      <c r="E41" t="s">
        <v>23</v>
      </c>
      <c r="F41">
        <v>50</v>
      </c>
      <c r="G41">
        <v>0</v>
      </c>
      <c r="H41">
        <v>4</v>
      </c>
      <c r="I41">
        <v>27</v>
      </c>
      <c r="J41">
        <v>12</v>
      </c>
      <c r="K41" s="3">
        <f>J41/I41</f>
        <v>0.44444444444444442</v>
      </c>
      <c r="L41" s="5"/>
    </row>
    <row r="42" spans="1:12" x14ac:dyDescent="0.2">
      <c r="A42" t="s">
        <v>41</v>
      </c>
      <c r="B42" s="2" t="s">
        <v>45</v>
      </c>
      <c r="C42" t="s">
        <v>50</v>
      </c>
      <c r="D42" t="s">
        <v>12</v>
      </c>
      <c r="E42" t="s">
        <v>23</v>
      </c>
      <c r="F42">
        <v>50</v>
      </c>
      <c r="G42">
        <v>400</v>
      </c>
      <c r="H42">
        <v>4</v>
      </c>
      <c r="I42">
        <v>33</v>
      </c>
      <c r="J42">
        <v>33</v>
      </c>
      <c r="K42" s="3">
        <f t="shared" ref="K42" si="16">J42/I42</f>
        <v>1</v>
      </c>
      <c r="L42" s="6">
        <f>K42-K41</f>
        <v>0.55555555555555558</v>
      </c>
    </row>
    <row r="43" spans="1:12" x14ac:dyDescent="0.2">
      <c r="A43" t="s">
        <v>41</v>
      </c>
      <c r="B43" s="2" t="s">
        <v>45</v>
      </c>
      <c r="C43" t="s">
        <v>50</v>
      </c>
      <c r="D43" t="s">
        <v>12</v>
      </c>
      <c r="E43" t="s">
        <v>23</v>
      </c>
      <c r="F43">
        <v>75</v>
      </c>
      <c r="G43">
        <v>0</v>
      </c>
      <c r="H43">
        <v>4</v>
      </c>
      <c r="I43">
        <v>47</v>
      </c>
      <c r="J43">
        <v>10</v>
      </c>
      <c r="K43" s="3">
        <f>J43/I43</f>
        <v>0.21276595744680851</v>
      </c>
      <c r="L43" s="5"/>
    </row>
    <row r="44" spans="1:12" x14ac:dyDescent="0.2">
      <c r="A44" t="s">
        <v>41</v>
      </c>
      <c r="B44" s="2" t="s">
        <v>45</v>
      </c>
      <c r="C44" t="s">
        <v>50</v>
      </c>
      <c r="D44" t="s">
        <v>12</v>
      </c>
      <c r="E44" t="s">
        <v>23</v>
      </c>
      <c r="F44">
        <v>75</v>
      </c>
      <c r="G44">
        <v>400</v>
      </c>
      <c r="H44">
        <v>4</v>
      </c>
      <c r="I44">
        <v>31</v>
      </c>
      <c r="J44">
        <v>31</v>
      </c>
      <c r="K44" s="3">
        <f t="shared" ref="K44" si="17">J44/I44</f>
        <v>1</v>
      </c>
      <c r="L44" s="6">
        <f>K44-K43</f>
        <v>0.78723404255319152</v>
      </c>
    </row>
    <row r="45" spans="1:12" x14ac:dyDescent="0.2">
      <c r="A45" t="s">
        <v>41</v>
      </c>
      <c r="B45" s="2"/>
    </row>
    <row r="46" spans="1:12" x14ac:dyDescent="0.2">
      <c r="A46" t="s">
        <v>41</v>
      </c>
      <c r="B46" s="2" t="s">
        <v>45</v>
      </c>
      <c r="C46" t="s">
        <v>51</v>
      </c>
      <c r="D46" t="s">
        <v>12</v>
      </c>
      <c r="E46" t="s">
        <v>23</v>
      </c>
      <c r="F46">
        <v>50</v>
      </c>
      <c r="G46">
        <v>0</v>
      </c>
      <c r="H46">
        <v>4</v>
      </c>
      <c r="I46">
        <v>34</v>
      </c>
      <c r="J46">
        <v>0</v>
      </c>
      <c r="K46" s="3">
        <f>J46/I46</f>
        <v>0</v>
      </c>
      <c r="L46" s="5"/>
    </row>
    <row r="47" spans="1:12" x14ac:dyDescent="0.2">
      <c r="A47" t="s">
        <v>41</v>
      </c>
      <c r="B47" s="2" t="s">
        <v>45</v>
      </c>
      <c r="C47" t="s">
        <v>51</v>
      </c>
      <c r="D47" t="s">
        <v>12</v>
      </c>
      <c r="E47" t="s">
        <v>23</v>
      </c>
      <c r="F47">
        <v>50</v>
      </c>
      <c r="G47">
        <v>400</v>
      </c>
      <c r="H47">
        <v>4</v>
      </c>
      <c r="I47">
        <v>39</v>
      </c>
      <c r="J47">
        <v>0</v>
      </c>
      <c r="K47" s="3">
        <f t="shared" ref="K47" si="18">J47/I47</f>
        <v>0</v>
      </c>
      <c r="L47" s="6">
        <f>K47-K46</f>
        <v>0</v>
      </c>
    </row>
    <row r="48" spans="1:12" x14ac:dyDescent="0.2">
      <c r="A48" t="s">
        <v>41</v>
      </c>
      <c r="B48" s="2" t="s">
        <v>45</v>
      </c>
      <c r="C48" t="s">
        <v>51</v>
      </c>
      <c r="D48" t="s">
        <v>12</v>
      </c>
      <c r="E48" t="s">
        <v>23</v>
      </c>
      <c r="F48">
        <v>75</v>
      </c>
      <c r="G48">
        <v>0</v>
      </c>
      <c r="H48">
        <v>4</v>
      </c>
      <c r="I48">
        <v>33</v>
      </c>
      <c r="J48">
        <v>0</v>
      </c>
      <c r="K48" s="3">
        <f>J48/I48</f>
        <v>0</v>
      </c>
      <c r="L48" s="5"/>
    </row>
    <row r="49" spans="1:12" x14ac:dyDescent="0.2">
      <c r="A49" t="s">
        <v>41</v>
      </c>
      <c r="B49" s="2" t="s">
        <v>45</v>
      </c>
      <c r="C49" t="s">
        <v>51</v>
      </c>
      <c r="D49" t="s">
        <v>12</v>
      </c>
      <c r="E49" t="s">
        <v>23</v>
      </c>
      <c r="F49">
        <v>75</v>
      </c>
      <c r="G49">
        <v>400</v>
      </c>
      <c r="H49">
        <v>4</v>
      </c>
      <c r="I49">
        <v>36</v>
      </c>
      <c r="J49">
        <v>0</v>
      </c>
      <c r="K49" s="3">
        <f t="shared" ref="K49" si="19">J49/I49</f>
        <v>0</v>
      </c>
      <c r="L49" s="6">
        <f>K49-K48</f>
        <v>0</v>
      </c>
    </row>
    <row r="50" spans="1:12" x14ac:dyDescent="0.2">
      <c r="A50" t="s">
        <v>41</v>
      </c>
      <c r="B50" s="2"/>
    </row>
    <row r="51" spans="1:12" x14ac:dyDescent="0.2">
      <c r="A51" t="s">
        <v>41</v>
      </c>
      <c r="B51" s="2" t="s">
        <v>45</v>
      </c>
      <c r="C51" t="s">
        <v>52</v>
      </c>
      <c r="D51" t="s">
        <v>12</v>
      </c>
      <c r="E51" t="s">
        <v>23</v>
      </c>
      <c r="F51">
        <v>50</v>
      </c>
      <c r="G51">
        <v>0</v>
      </c>
      <c r="H51">
        <v>4</v>
      </c>
      <c r="I51">
        <v>46</v>
      </c>
      <c r="J51">
        <v>46</v>
      </c>
      <c r="K51" s="3">
        <f>J51/I51</f>
        <v>1</v>
      </c>
      <c r="L51" s="5"/>
    </row>
    <row r="52" spans="1:12" x14ac:dyDescent="0.2">
      <c r="A52" t="s">
        <v>41</v>
      </c>
      <c r="B52" s="2" t="s">
        <v>45</v>
      </c>
      <c r="C52" t="s">
        <v>52</v>
      </c>
      <c r="D52" t="s">
        <v>12</v>
      </c>
      <c r="E52" t="s">
        <v>23</v>
      </c>
      <c r="F52">
        <v>50</v>
      </c>
      <c r="G52">
        <v>400</v>
      </c>
      <c r="H52">
        <v>4</v>
      </c>
      <c r="I52">
        <v>39</v>
      </c>
      <c r="J52">
        <v>39</v>
      </c>
      <c r="K52" s="3">
        <f t="shared" ref="K52" si="20">J52/I52</f>
        <v>1</v>
      </c>
      <c r="L52" s="6">
        <f>K52-K51</f>
        <v>0</v>
      </c>
    </row>
    <row r="53" spans="1:12" x14ac:dyDescent="0.2">
      <c r="A53" t="s">
        <v>41</v>
      </c>
      <c r="B53" s="2" t="s">
        <v>45</v>
      </c>
      <c r="C53" t="s">
        <v>52</v>
      </c>
      <c r="D53" t="s">
        <v>12</v>
      </c>
      <c r="E53" t="s">
        <v>23</v>
      </c>
      <c r="F53">
        <v>75</v>
      </c>
      <c r="G53">
        <v>0</v>
      </c>
      <c r="H53">
        <v>4</v>
      </c>
      <c r="I53">
        <v>45</v>
      </c>
      <c r="J53">
        <v>45</v>
      </c>
      <c r="K53" s="3">
        <f>J53/I53</f>
        <v>1</v>
      </c>
      <c r="L53" s="5"/>
    </row>
    <row r="54" spans="1:12" x14ac:dyDescent="0.2">
      <c r="A54" t="s">
        <v>41</v>
      </c>
      <c r="B54" s="2" t="s">
        <v>45</v>
      </c>
      <c r="C54" t="s">
        <v>52</v>
      </c>
      <c r="D54" t="s">
        <v>12</v>
      </c>
      <c r="E54" t="s">
        <v>23</v>
      </c>
      <c r="F54">
        <v>75</v>
      </c>
      <c r="G54">
        <v>400</v>
      </c>
      <c r="H54">
        <v>4</v>
      </c>
      <c r="I54">
        <v>51</v>
      </c>
      <c r="J54">
        <v>51</v>
      </c>
      <c r="K54" s="3">
        <f t="shared" ref="K54" si="21">J54/I54</f>
        <v>1</v>
      </c>
      <c r="L54" s="6">
        <f>K54-K53</f>
        <v>0</v>
      </c>
    </row>
    <row r="57" spans="1:12" x14ac:dyDescent="0.2">
      <c r="A57" t="s">
        <v>17</v>
      </c>
    </row>
    <row r="59" spans="1:12" ht="119" x14ac:dyDescent="0.2">
      <c r="A59" s="10" t="s">
        <v>0</v>
      </c>
      <c r="B59" s="10" t="s">
        <v>1</v>
      </c>
      <c r="C59" s="10" t="s">
        <v>2</v>
      </c>
      <c r="D59" s="10" t="s">
        <v>3</v>
      </c>
      <c r="E59" s="10" t="s">
        <v>4</v>
      </c>
      <c r="F59" s="10" t="s">
        <v>5</v>
      </c>
      <c r="G59" s="10" t="s">
        <v>6</v>
      </c>
      <c r="H59" s="10" t="s">
        <v>7</v>
      </c>
      <c r="I59" s="10" t="s">
        <v>8</v>
      </c>
      <c r="J59" s="10" t="s">
        <v>9</v>
      </c>
      <c r="K59" s="10" t="s">
        <v>10</v>
      </c>
    </row>
    <row r="60" spans="1:12" x14ac:dyDescent="0.2">
      <c r="A60" t="s">
        <v>41</v>
      </c>
      <c r="B60" s="2" t="s">
        <v>45</v>
      </c>
      <c r="C60" s="9">
        <v>796</v>
      </c>
      <c r="D60" t="s">
        <v>12</v>
      </c>
      <c r="E60" t="s">
        <v>23</v>
      </c>
      <c r="F60">
        <v>50</v>
      </c>
      <c r="G60">
        <v>0</v>
      </c>
      <c r="H60">
        <v>4</v>
      </c>
      <c r="I60">
        <v>34</v>
      </c>
      <c r="J60">
        <v>1</v>
      </c>
      <c r="K60" s="3">
        <f t="shared" ref="K60:K99" si="22">J60/I60</f>
        <v>2.9411764705882353E-2</v>
      </c>
    </row>
    <row r="61" spans="1:12" x14ac:dyDescent="0.2">
      <c r="A61" t="s">
        <v>41</v>
      </c>
      <c r="B61" s="2" t="s">
        <v>45</v>
      </c>
      <c r="C61" s="9">
        <v>796</v>
      </c>
      <c r="D61" t="s">
        <v>43</v>
      </c>
      <c r="E61" t="s">
        <v>23</v>
      </c>
      <c r="F61">
        <v>50</v>
      </c>
      <c r="G61">
        <v>0</v>
      </c>
      <c r="H61">
        <v>4</v>
      </c>
      <c r="I61">
        <v>30</v>
      </c>
      <c r="J61">
        <v>20</v>
      </c>
      <c r="K61" s="3">
        <f t="shared" si="22"/>
        <v>0.66666666666666663</v>
      </c>
    </row>
    <row r="62" spans="1:12" x14ac:dyDescent="0.2">
      <c r="A62" t="s">
        <v>41</v>
      </c>
      <c r="B62" s="2" t="s">
        <v>45</v>
      </c>
      <c r="C62" s="9">
        <v>796</v>
      </c>
      <c r="D62" t="s">
        <v>44</v>
      </c>
      <c r="E62" t="s">
        <v>23</v>
      </c>
      <c r="F62">
        <v>50</v>
      </c>
      <c r="G62">
        <v>0</v>
      </c>
      <c r="H62">
        <v>4</v>
      </c>
      <c r="I62">
        <v>19</v>
      </c>
      <c r="J62">
        <v>0</v>
      </c>
      <c r="K62" s="3">
        <f t="shared" si="22"/>
        <v>0</v>
      </c>
    </row>
    <row r="63" spans="1:12" x14ac:dyDescent="0.2">
      <c r="A63" t="s">
        <v>41</v>
      </c>
      <c r="B63" s="2" t="s">
        <v>45</v>
      </c>
      <c r="C63" s="9">
        <v>796</v>
      </c>
      <c r="D63" t="s">
        <v>12</v>
      </c>
      <c r="E63" t="s">
        <v>23</v>
      </c>
      <c r="F63">
        <v>75</v>
      </c>
      <c r="G63">
        <v>0</v>
      </c>
      <c r="H63">
        <v>4</v>
      </c>
      <c r="I63">
        <v>28</v>
      </c>
      <c r="J63">
        <v>0</v>
      </c>
      <c r="K63" s="3">
        <f t="shared" si="22"/>
        <v>0</v>
      </c>
    </row>
    <row r="64" spans="1:12" x14ac:dyDescent="0.2">
      <c r="A64" t="s">
        <v>41</v>
      </c>
      <c r="B64" s="2" t="s">
        <v>45</v>
      </c>
      <c r="C64" s="9">
        <v>796</v>
      </c>
      <c r="D64" t="s">
        <v>43</v>
      </c>
      <c r="E64" t="s">
        <v>23</v>
      </c>
      <c r="F64">
        <v>75</v>
      </c>
      <c r="G64">
        <v>0</v>
      </c>
      <c r="H64">
        <v>4</v>
      </c>
      <c r="I64">
        <v>34</v>
      </c>
      <c r="J64">
        <v>0</v>
      </c>
      <c r="K64" s="3">
        <f t="shared" si="22"/>
        <v>0</v>
      </c>
    </row>
    <row r="65" spans="1:11" x14ac:dyDescent="0.2">
      <c r="A65" t="s">
        <v>41</v>
      </c>
      <c r="B65" s="2" t="s">
        <v>45</v>
      </c>
      <c r="C65" s="9">
        <v>796</v>
      </c>
      <c r="D65" t="s">
        <v>44</v>
      </c>
      <c r="E65" t="s">
        <v>23</v>
      </c>
      <c r="F65">
        <v>75</v>
      </c>
      <c r="G65">
        <v>0</v>
      </c>
      <c r="H65">
        <v>4</v>
      </c>
      <c r="I65">
        <v>27</v>
      </c>
      <c r="J65">
        <v>0</v>
      </c>
      <c r="K65" s="3">
        <f t="shared" si="22"/>
        <v>0</v>
      </c>
    </row>
    <row r="66" spans="1:11" x14ac:dyDescent="0.2">
      <c r="A66" t="s">
        <v>41</v>
      </c>
      <c r="B66" s="2" t="s">
        <v>45</v>
      </c>
      <c r="C66" t="s">
        <v>46</v>
      </c>
      <c r="D66" t="s">
        <v>12</v>
      </c>
      <c r="E66" t="s">
        <v>23</v>
      </c>
      <c r="F66">
        <v>50</v>
      </c>
      <c r="G66">
        <v>0</v>
      </c>
      <c r="H66">
        <v>4</v>
      </c>
      <c r="I66">
        <v>56</v>
      </c>
      <c r="J66">
        <v>0</v>
      </c>
      <c r="K66" s="3">
        <f t="shared" si="22"/>
        <v>0</v>
      </c>
    </row>
    <row r="67" spans="1:11" x14ac:dyDescent="0.2">
      <c r="A67" t="s">
        <v>41</v>
      </c>
      <c r="B67" s="2" t="s">
        <v>45</v>
      </c>
      <c r="C67" t="s">
        <v>46</v>
      </c>
      <c r="D67" t="s">
        <v>12</v>
      </c>
      <c r="E67" t="s">
        <v>23</v>
      </c>
      <c r="F67">
        <v>75</v>
      </c>
      <c r="G67">
        <v>0</v>
      </c>
      <c r="H67">
        <v>4</v>
      </c>
      <c r="I67">
        <v>42</v>
      </c>
      <c r="J67">
        <v>0</v>
      </c>
      <c r="K67" s="3">
        <f t="shared" si="22"/>
        <v>0</v>
      </c>
    </row>
    <row r="68" spans="1:11" x14ac:dyDescent="0.2">
      <c r="A68" t="s">
        <v>41</v>
      </c>
      <c r="B68" s="2" t="s">
        <v>45</v>
      </c>
      <c r="C68" t="s">
        <v>47</v>
      </c>
      <c r="D68" t="s">
        <v>12</v>
      </c>
      <c r="E68" t="s">
        <v>23</v>
      </c>
      <c r="F68">
        <v>50</v>
      </c>
      <c r="G68">
        <v>0</v>
      </c>
      <c r="H68">
        <v>4</v>
      </c>
      <c r="I68">
        <v>31</v>
      </c>
      <c r="J68">
        <v>4</v>
      </c>
      <c r="K68" s="3">
        <f t="shared" si="22"/>
        <v>0.12903225806451613</v>
      </c>
    </row>
    <row r="69" spans="1:11" x14ac:dyDescent="0.2">
      <c r="A69" t="s">
        <v>41</v>
      </c>
      <c r="B69" s="2" t="s">
        <v>45</v>
      </c>
      <c r="C69" t="s">
        <v>47</v>
      </c>
      <c r="D69" t="s">
        <v>12</v>
      </c>
      <c r="E69" t="s">
        <v>23</v>
      </c>
      <c r="F69">
        <v>75</v>
      </c>
      <c r="G69">
        <v>0</v>
      </c>
      <c r="H69">
        <v>4</v>
      </c>
      <c r="I69">
        <v>27</v>
      </c>
      <c r="J69">
        <v>20</v>
      </c>
      <c r="K69" s="3">
        <f t="shared" si="22"/>
        <v>0.7407407407407407</v>
      </c>
    </row>
    <row r="70" spans="1:11" x14ac:dyDescent="0.2">
      <c r="A70" t="s">
        <v>41</v>
      </c>
      <c r="B70" s="2" t="s">
        <v>45</v>
      </c>
      <c r="C70" t="s">
        <v>48</v>
      </c>
      <c r="D70" t="s">
        <v>12</v>
      </c>
      <c r="E70" t="s">
        <v>23</v>
      </c>
      <c r="F70">
        <v>50</v>
      </c>
      <c r="G70">
        <v>0</v>
      </c>
      <c r="H70">
        <v>4</v>
      </c>
      <c r="I70">
        <v>40</v>
      </c>
      <c r="J70">
        <v>25</v>
      </c>
      <c r="K70" s="3">
        <f t="shared" si="22"/>
        <v>0.625</v>
      </c>
    </row>
    <row r="71" spans="1:11" x14ac:dyDescent="0.2">
      <c r="A71" t="s">
        <v>41</v>
      </c>
      <c r="B71" s="2" t="s">
        <v>45</v>
      </c>
      <c r="C71" t="s">
        <v>48</v>
      </c>
      <c r="D71" t="s">
        <v>12</v>
      </c>
      <c r="E71" t="s">
        <v>23</v>
      </c>
      <c r="F71">
        <v>75</v>
      </c>
      <c r="G71">
        <v>0</v>
      </c>
      <c r="H71">
        <v>4</v>
      </c>
      <c r="I71">
        <v>33</v>
      </c>
      <c r="J71">
        <v>33</v>
      </c>
      <c r="K71" s="3">
        <f t="shared" si="22"/>
        <v>1</v>
      </c>
    </row>
    <row r="72" spans="1:11" x14ac:dyDescent="0.2">
      <c r="A72" t="s">
        <v>41</v>
      </c>
      <c r="B72" s="2" t="s">
        <v>45</v>
      </c>
      <c r="C72" t="s">
        <v>49</v>
      </c>
      <c r="D72" t="s">
        <v>12</v>
      </c>
      <c r="E72" t="s">
        <v>23</v>
      </c>
      <c r="F72">
        <v>50</v>
      </c>
      <c r="G72">
        <v>0</v>
      </c>
      <c r="H72">
        <v>4</v>
      </c>
      <c r="I72">
        <v>46</v>
      </c>
      <c r="J72">
        <v>0</v>
      </c>
      <c r="K72" s="3">
        <f t="shared" si="22"/>
        <v>0</v>
      </c>
    </row>
    <row r="73" spans="1:11" x14ac:dyDescent="0.2">
      <c r="A73" t="s">
        <v>41</v>
      </c>
      <c r="B73" s="2" t="s">
        <v>45</v>
      </c>
      <c r="C73" t="s">
        <v>49</v>
      </c>
      <c r="D73" t="s">
        <v>12</v>
      </c>
      <c r="E73" t="s">
        <v>23</v>
      </c>
      <c r="F73">
        <v>75</v>
      </c>
      <c r="G73">
        <v>0</v>
      </c>
      <c r="H73">
        <v>4</v>
      </c>
      <c r="I73">
        <v>37</v>
      </c>
      <c r="J73">
        <v>37</v>
      </c>
      <c r="K73" s="3">
        <f t="shared" si="22"/>
        <v>1</v>
      </c>
    </row>
    <row r="74" spans="1:11" x14ac:dyDescent="0.2">
      <c r="A74" t="s">
        <v>41</v>
      </c>
      <c r="B74" s="2" t="s">
        <v>45</v>
      </c>
      <c r="C74" t="s">
        <v>50</v>
      </c>
      <c r="D74" t="s">
        <v>12</v>
      </c>
      <c r="E74" t="s">
        <v>23</v>
      </c>
      <c r="F74">
        <v>50</v>
      </c>
      <c r="G74">
        <v>0</v>
      </c>
      <c r="H74">
        <v>4</v>
      </c>
      <c r="I74">
        <v>27</v>
      </c>
      <c r="J74">
        <v>12</v>
      </c>
      <c r="K74" s="3">
        <f t="shared" si="22"/>
        <v>0.44444444444444442</v>
      </c>
    </row>
    <row r="75" spans="1:11" x14ac:dyDescent="0.2">
      <c r="A75" t="s">
        <v>41</v>
      </c>
      <c r="B75" s="2" t="s">
        <v>45</v>
      </c>
      <c r="C75" t="s">
        <v>50</v>
      </c>
      <c r="D75" t="s">
        <v>12</v>
      </c>
      <c r="E75" t="s">
        <v>23</v>
      </c>
      <c r="F75">
        <v>75</v>
      </c>
      <c r="G75">
        <v>0</v>
      </c>
      <c r="H75">
        <v>4</v>
      </c>
      <c r="I75">
        <v>47</v>
      </c>
      <c r="J75">
        <v>10</v>
      </c>
      <c r="K75" s="3">
        <f t="shared" si="22"/>
        <v>0.21276595744680851</v>
      </c>
    </row>
    <row r="76" spans="1:11" x14ac:dyDescent="0.2">
      <c r="A76" t="s">
        <v>41</v>
      </c>
      <c r="B76" s="2" t="s">
        <v>45</v>
      </c>
      <c r="C76" t="s">
        <v>51</v>
      </c>
      <c r="D76" t="s">
        <v>12</v>
      </c>
      <c r="E76" t="s">
        <v>23</v>
      </c>
      <c r="F76">
        <v>50</v>
      </c>
      <c r="G76">
        <v>0</v>
      </c>
      <c r="H76">
        <v>4</v>
      </c>
      <c r="I76">
        <v>34</v>
      </c>
      <c r="J76">
        <v>0</v>
      </c>
      <c r="K76" s="3">
        <f t="shared" si="22"/>
        <v>0</v>
      </c>
    </row>
    <row r="77" spans="1:11" x14ac:dyDescent="0.2">
      <c r="A77" t="s">
        <v>41</v>
      </c>
      <c r="B77" s="2" t="s">
        <v>45</v>
      </c>
      <c r="C77" t="s">
        <v>51</v>
      </c>
      <c r="D77" t="s">
        <v>12</v>
      </c>
      <c r="E77" t="s">
        <v>23</v>
      </c>
      <c r="F77">
        <v>75</v>
      </c>
      <c r="G77">
        <v>0</v>
      </c>
      <c r="H77">
        <v>4</v>
      </c>
      <c r="I77">
        <v>33</v>
      </c>
      <c r="J77">
        <v>0</v>
      </c>
      <c r="K77" s="3">
        <f t="shared" si="22"/>
        <v>0</v>
      </c>
    </row>
    <row r="78" spans="1:11" x14ac:dyDescent="0.2">
      <c r="A78" t="s">
        <v>41</v>
      </c>
      <c r="B78" s="2" t="s">
        <v>45</v>
      </c>
      <c r="C78" t="s">
        <v>52</v>
      </c>
      <c r="D78" t="s">
        <v>12</v>
      </c>
      <c r="E78" t="s">
        <v>23</v>
      </c>
      <c r="F78">
        <v>50</v>
      </c>
      <c r="G78">
        <v>0</v>
      </c>
      <c r="H78">
        <v>4</v>
      </c>
      <c r="I78">
        <v>46</v>
      </c>
      <c r="J78">
        <v>46</v>
      </c>
      <c r="K78" s="3">
        <f t="shared" si="22"/>
        <v>1</v>
      </c>
    </row>
    <row r="79" spans="1:11" x14ac:dyDescent="0.2">
      <c r="A79" t="s">
        <v>41</v>
      </c>
      <c r="B79" s="2" t="s">
        <v>45</v>
      </c>
      <c r="C79" t="s">
        <v>52</v>
      </c>
      <c r="D79" t="s">
        <v>12</v>
      </c>
      <c r="E79" t="s">
        <v>23</v>
      </c>
      <c r="F79">
        <v>75</v>
      </c>
      <c r="G79">
        <v>0</v>
      </c>
      <c r="H79">
        <v>4</v>
      </c>
      <c r="I79">
        <v>45</v>
      </c>
      <c r="J79">
        <v>45</v>
      </c>
      <c r="K79" s="3">
        <f t="shared" si="22"/>
        <v>1</v>
      </c>
    </row>
    <row r="80" spans="1:11" x14ac:dyDescent="0.2">
      <c r="A80" t="s">
        <v>41</v>
      </c>
      <c r="B80" s="2" t="s">
        <v>45</v>
      </c>
      <c r="C80" s="9">
        <v>796</v>
      </c>
      <c r="D80" t="s">
        <v>12</v>
      </c>
      <c r="E80" t="s">
        <v>23</v>
      </c>
      <c r="F80">
        <v>50</v>
      </c>
      <c r="G80">
        <v>400</v>
      </c>
      <c r="H80">
        <v>4</v>
      </c>
      <c r="I80">
        <v>24</v>
      </c>
      <c r="J80">
        <v>0</v>
      </c>
      <c r="K80" s="3">
        <f t="shared" si="22"/>
        <v>0</v>
      </c>
    </row>
    <row r="81" spans="1:11" x14ac:dyDescent="0.2">
      <c r="A81" t="s">
        <v>41</v>
      </c>
      <c r="B81" s="2" t="s">
        <v>45</v>
      </c>
      <c r="C81" s="9">
        <v>796</v>
      </c>
      <c r="D81" t="s">
        <v>43</v>
      </c>
      <c r="E81" t="s">
        <v>23</v>
      </c>
      <c r="F81">
        <v>50</v>
      </c>
      <c r="G81">
        <v>400</v>
      </c>
      <c r="H81">
        <v>4</v>
      </c>
      <c r="I81">
        <v>38</v>
      </c>
      <c r="J81">
        <v>0</v>
      </c>
      <c r="K81" s="3">
        <f t="shared" si="22"/>
        <v>0</v>
      </c>
    </row>
    <row r="82" spans="1:11" x14ac:dyDescent="0.2">
      <c r="A82" t="s">
        <v>41</v>
      </c>
      <c r="B82" s="2" t="s">
        <v>45</v>
      </c>
      <c r="C82" s="9">
        <v>796</v>
      </c>
      <c r="D82" t="s">
        <v>44</v>
      </c>
      <c r="E82" t="s">
        <v>23</v>
      </c>
      <c r="F82">
        <v>50</v>
      </c>
      <c r="G82">
        <v>400</v>
      </c>
      <c r="H82">
        <v>4</v>
      </c>
      <c r="I82">
        <v>36</v>
      </c>
      <c r="J82">
        <v>2</v>
      </c>
      <c r="K82" s="3">
        <f t="shared" si="22"/>
        <v>5.5555555555555552E-2</v>
      </c>
    </row>
    <row r="83" spans="1:11" x14ac:dyDescent="0.2">
      <c r="A83" t="s">
        <v>41</v>
      </c>
      <c r="B83" s="2" t="s">
        <v>45</v>
      </c>
      <c r="C83" s="9">
        <v>796</v>
      </c>
      <c r="D83" t="s">
        <v>12</v>
      </c>
      <c r="E83" t="s">
        <v>23</v>
      </c>
      <c r="F83">
        <v>75</v>
      </c>
      <c r="G83">
        <v>400</v>
      </c>
      <c r="H83">
        <v>4</v>
      </c>
      <c r="I83">
        <v>25</v>
      </c>
      <c r="J83">
        <v>0</v>
      </c>
      <c r="K83" s="3">
        <f t="shared" si="22"/>
        <v>0</v>
      </c>
    </row>
    <row r="84" spans="1:11" x14ac:dyDescent="0.2">
      <c r="A84" t="s">
        <v>41</v>
      </c>
      <c r="B84" s="2" t="s">
        <v>45</v>
      </c>
      <c r="C84" s="9">
        <v>796</v>
      </c>
      <c r="D84" t="s">
        <v>43</v>
      </c>
      <c r="E84" t="s">
        <v>23</v>
      </c>
      <c r="F84">
        <v>75</v>
      </c>
      <c r="G84">
        <v>400</v>
      </c>
      <c r="H84">
        <v>4</v>
      </c>
      <c r="I84">
        <v>42</v>
      </c>
      <c r="J84">
        <v>0</v>
      </c>
      <c r="K84" s="3">
        <f t="shared" si="22"/>
        <v>0</v>
      </c>
    </row>
    <row r="85" spans="1:11" x14ac:dyDescent="0.2">
      <c r="A85" t="s">
        <v>41</v>
      </c>
      <c r="B85" s="2" t="s">
        <v>45</v>
      </c>
      <c r="C85" s="9">
        <v>796</v>
      </c>
      <c r="D85" t="s">
        <v>44</v>
      </c>
      <c r="E85" t="s">
        <v>23</v>
      </c>
      <c r="F85">
        <v>75</v>
      </c>
      <c r="G85">
        <v>400</v>
      </c>
      <c r="H85">
        <v>4</v>
      </c>
      <c r="I85">
        <v>29</v>
      </c>
      <c r="J85">
        <v>3</v>
      </c>
      <c r="K85" s="3">
        <f t="shared" si="22"/>
        <v>0.10344827586206896</v>
      </c>
    </row>
    <row r="86" spans="1:11" x14ac:dyDescent="0.2">
      <c r="A86" t="s">
        <v>41</v>
      </c>
      <c r="B86" s="2" t="s">
        <v>45</v>
      </c>
      <c r="C86" t="s">
        <v>46</v>
      </c>
      <c r="D86" t="s">
        <v>12</v>
      </c>
      <c r="E86" t="s">
        <v>23</v>
      </c>
      <c r="F86">
        <v>50</v>
      </c>
      <c r="G86">
        <v>400</v>
      </c>
      <c r="H86">
        <v>4</v>
      </c>
      <c r="I86">
        <v>49</v>
      </c>
      <c r="J86">
        <v>45</v>
      </c>
      <c r="K86" s="3">
        <f t="shared" si="22"/>
        <v>0.91836734693877553</v>
      </c>
    </row>
    <row r="87" spans="1:11" x14ac:dyDescent="0.2">
      <c r="A87" t="s">
        <v>41</v>
      </c>
      <c r="B87" s="2" t="s">
        <v>45</v>
      </c>
      <c r="C87" t="s">
        <v>46</v>
      </c>
      <c r="D87" t="s">
        <v>12</v>
      </c>
      <c r="E87" t="s">
        <v>23</v>
      </c>
      <c r="F87">
        <v>75</v>
      </c>
      <c r="G87">
        <v>400</v>
      </c>
      <c r="H87">
        <v>4</v>
      </c>
      <c r="I87">
        <v>29</v>
      </c>
      <c r="J87">
        <v>15</v>
      </c>
      <c r="K87" s="3">
        <f t="shared" si="22"/>
        <v>0.51724137931034486</v>
      </c>
    </row>
    <row r="88" spans="1:11" x14ac:dyDescent="0.2">
      <c r="A88" t="s">
        <v>41</v>
      </c>
      <c r="B88" s="2" t="s">
        <v>45</v>
      </c>
      <c r="C88" t="s">
        <v>47</v>
      </c>
      <c r="D88" t="s">
        <v>12</v>
      </c>
      <c r="E88" t="s">
        <v>23</v>
      </c>
      <c r="F88">
        <v>50</v>
      </c>
      <c r="G88">
        <v>400</v>
      </c>
      <c r="H88">
        <v>4</v>
      </c>
      <c r="I88">
        <v>37</v>
      </c>
      <c r="J88">
        <v>20</v>
      </c>
      <c r="K88" s="3">
        <f t="shared" si="22"/>
        <v>0.54054054054054057</v>
      </c>
    </row>
    <row r="89" spans="1:11" x14ac:dyDescent="0.2">
      <c r="A89" t="s">
        <v>41</v>
      </c>
      <c r="B89" s="2" t="s">
        <v>45</v>
      </c>
      <c r="C89" t="s">
        <v>47</v>
      </c>
      <c r="D89" t="s">
        <v>12</v>
      </c>
      <c r="E89" t="s">
        <v>23</v>
      </c>
      <c r="F89">
        <v>75</v>
      </c>
      <c r="G89">
        <v>400</v>
      </c>
      <c r="H89">
        <v>4</v>
      </c>
      <c r="I89">
        <v>33</v>
      </c>
      <c r="J89">
        <v>25</v>
      </c>
      <c r="K89" s="3">
        <f t="shared" si="22"/>
        <v>0.75757575757575757</v>
      </c>
    </row>
    <row r="90" spans="1:11" x14ac:dyDescent="0.2">
      <c r="A90" t="s">
        <v>41</v>
      </c>
      <c r="B90" s="2" t="s">
        <v>45</v>
      </c>
      <c r="C90" t="s">
        <v>48</v>
      </c>
      <c r="D90" t="s">
        <v>12</v>
      </c>
      <c r="E90" t="s">
        <v>23</v>
      </c>
      <c r="F90">
        <v>50</v>
      </c>
      <c r="G90">
        <v>400</v>
      </c>
      <c r="H90">
        <v>4</v>
      </c>
      <c r="I90">
        <v>54</v>
      </c>
      <c r="J90">
        <v>54</v>
      </c>
      <c r="K90" s="3">
        <f t="shared" si="22"/>
        <v>1</v>
      </c>
    </row>
    <row r="91" spans="1:11" x14ac:dyDescent="0.2">
      <c r="A91" t="s">
        <v>41</v>
      </c>
      <c r="B91" s="2" t="s">
        <v>45</v>
      </c>
      <c r="C91" t="s">
        <v>48</v>
      </c>
      <c r="D91" t="s">
        <v>12</v>
      </c>
      <c r="E91" t="s">
        <v>23</v>
      </c>
      <c r="F91">
        <v>75</v>
      </c>
      <c r="G91">
        <v>400</v>
      </c>
      <c r="H91">
        <v>4</v>
      </c>
      <c r="I91">
        <v>43</v>
      </c>
      <c r="J91">
        <v>23</v>
      </c>
      <c r="K91" s="3">
        <f t="shared" si="22"/>
        <v>0.53488372093023251</v>
      </c>
    </row>
    <row r="92" spans="1:11" x14ac:dyDescent="0.2">
      <c r="A92" t="s">
        <v>41</v>
      </c>
      <c r="B92" s="2" t="s">
        <v>45</v>
      </c>
      <c r="C92" t="s">
        <v>49</v>
      </c>
      <c r="D92" t="s">
        <v>12</v>
      </c>
      <c r="E92" t="s">
        <v>23</v>
      </c>
      <c r="F92">
        <v>50</v>
      </c>
      <c r="G92">
        <v>400</v>
      </c>
      <c r="H92">
        <v>4</v>
      </c>
      <c r="I92">
        <v>40</v>
      </c>
      <c r="J92">
        <v>30</v>
      </c>
      <c r="K92" s="3">
        <f t="shared" si="22"/>
        <v>0.75</v>
      </c>
    </row>
    <row r="93" spans="1:11" x14ac:dyDescent="0.2">
      <c r="A93" t="s">
        <v>41</v>
      </c>
      <c r="B93" s="2" t="s">
        <v>45</v>
      </c>
      <c r="C93" t="s">
        <v>49</v>
      </c>
      <c r="D93" t="s">
        <v>12</v>
      </c>
      <c r="E93" t="s">
        <v>23</v>
      </c>
      <c r="F93">
        <v>75</v>
      </c>
      <c r="G93">
        <v>400</v>
      </c>
      <c r="H93">
        <v>4</v>
      </c>
      <c r="I93">
        <v>42</v>
      </c>
      <c r="J93">
        <v>21</v>
      </c>
      <c r="K93" s="3">
        <f t="shared" si="22"/>
        <v>0.5</v>
      </c>
    </row>
    <row r="94" spans="1:11" x14ac:dyDescent="0.2">
      <c r="A94" t="s">
        <v>41</v>
      </c>
      <c r="B94" s="2" t="s">
        <v>45</v>
      </c>
      <c r="C94" t="s">
        <v>50</v>
      </c>
      <c r="D94" t="s">
        <v>12</v>
      </c>
      <c r="E94" t="s">
        <v>23</v>
      </c>
      <c r="F94">
        <v>50</v>
      </c>
      <c r="G94">
        <v>400</v>
      </c>
      <c r="H94">
        <v>4</v>
      </c>
      <c r="I94">
        <v>33</v>
      </c>
      <c r="J94">
        <v>33</v>
      </c>
      <c r="K94" s="3">
        <f t="shared" si="22"/>
        <v>1</v>
      </c>
    </row>
    <row r="95" spans="1:11" x14ac:dyDescent="0.2">
      <c r="A95" t="s">
        <v>41</v>
      </c>
      <c r="B95" s="2" t="s">
        <v>45</v>
      </c>
      <c r="C95" t="s">
        <v>50</v>
      </c>
      <c r="D95" t="s">
        <v>12</v>
      </c>
      <c r="E95" t="s">
        <v>23</v>
      </c>
      <c r="F95">
        <v>75</v>
      </c>
      <c r="G95">
        <v>400</v>
      </c>
      <c r="H95">
        <v>4</v>
      </c>
      <c r="I95">
        <v>31</v>
      </c>
      <c r="J95">
        <v>31</v>
      </c>
      <c r="K95" s="3">
        <f t="shared" si="22"/>
        <v>1</v>
      </c>
    </row>
    <row r="96" spans="1:11" x14ac:dyDescent="0.2">
      <c r="A96" t="s">
        <v>41</v>
      </c>
      <c r="B96" s="2" t="s">
        <v>45</v>
      </c>
      <c r="C96" t="s">
        <v>51</v>
      </c>
      <c r="D96" t="s">
        <v>12</v>
      </c>
      <c r="E96" t="s">
        <v>23</v>
      </c>
      <c r="F96">
        <v>50</v>
      </c>
      <c r="G96">
        <v>400</v>
      </c>
      <c r="H96">
        <v>4</v>
      </c>
      <c r="I96">
        <v>39</v>
      </c>
      <c r="J96">
        <v>0</v>
      </c>
      <c r="K96" s="3">
        <f t="shared" si="22"/>
        <v>0</v>
      </c>
    </row>
    <row r="97" spans="1:11" x14ac:dyDescent="0.2">
      <c r="A97" t="s">
        <v>41</v>
      </c>
      <c r="B97" s="2" t="s">
        <v>45</v>
      </c>
      <c r="C97" t="s">
        <v>51</v>
      </c>
      <c r="D97" t="s">
        <v>12</v>
      </c>
      <c r="E97" t="s">
        <v>23</v>
      </c>
      <c r="F97">
        <v>75</v>
      </c>
      <c r="G97">
        <v>400</v>
      </c>
      <c r="H97">
        <v>4</v>
      </c>
      <c r="I97">
        <v>36</v>
      </c>
      <c r="J97">
        <v>0</v>
      </c>
      <c r="K97" s="3">
        <f t="shared" si="22"/>
        <v>0</v>
      </c>
    </row>
    <row r="98" spans="1:11" x14ac:dyDescent="0.2">
      <c r="A98" t="s">
        <v>41</v>
      </c>
      <c r="B98" s="2" t="s">
        <v>45</v>
      </c>
      <c r="C98" t="s">
        <v>52</v>
      </c>
      <c r="D98" t="s">
        <v>12</v>
      </c>
      <c r="E98" t="s">
        <v>23</v>
      </c>
      <c r="F98">
        <v>50</v>
      </c>
      <c r="G98">
        <v>400</v>
      </c>
      <c r="H98">
        <v>4</v>
      </c>
      <c r="I98">
        <v>39</v>
      </c>
      <c r="J98">
        <v>39</v>
      </c>
      <c r="K98" s="3">
        <f t="shared" si="22"/>
        <v>1</v>
      </c>
    </row>
    <row r="99" spans="1:11" x14ac:dyDescent="0.2">
      <c r="A99" t="s">
        <v>41</v>
      </c>
      <c r="B99" s="2" t="s">
        <v>45</v>
      </c>
      <c r="C99" t="s">
        <v>52</v>
      </c>
      <c r="D99" t="s">
        <v>12</v>
      </c>
      <c r="E99" t="s">
        <v>23</v>
      </c>
      <c r="F99">
        <v>75</v>
      </c>
      <c r="G99">
        <v>400</v>
      </c>
      <c r="H99">
        <v>4</v>
      </c>
      <c r="I99">
        <v>51</v>
      </c>
      <c r="J99">
        <v>51</v>
      </c>
      <c r="K99" s="3">
        <f t="shared" si="22"/>
        <v>1</v>
      </c>
    </row>
    <row r="100" spans="1:1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">
      <c r="B101" s="2"/>
    </row>
    <row r="102" spans="1:11" x14ac:dyDescent="0.2">
      <c r="B102" s="2"/>
    </row>
    <row r="103" spans="1:11" x14ac:dyDescent="0.2">
      <c r="A103" t="s">
        <v>41</v>
      </c>
      <c r="B103" s="2"/>
    </row>
    <row r="104" spans="1:11" x14ac:dyDescent="0.2">
      <c r="A104" t="s">
        <v>41</v>
      </c>
      <c r="B104" s="2"/>
    </row>
    <row r="105" spans="1:11" x14ac:dyDescent="0.2">
      <c r="A105" t="s">
        <v>41</v>
      </c>
      <c r="B105" s="2"/>
    </row>
    <row r="106" spans="1:11" x14ac:dyDescent="0.2">
      <c r="A106" t="s">
        <v>41</v>
      </c>
      <c r="B106" s="2"/>
    </row>
    <row r="107" spans="1:11" x14ac:dyDescent="0.2">
      <c r="A107" t="s">
        <v>41</v>
      </c>
      <c r="B107" s="2"/>
    </row>
  </sheetData>
  <sortState xmlns:xlrd2="http://schemas.microsoft.com/office/spreadsheetml/2017/richdata2" ref="A60:K107">
    <sortCondition ref="G60:G107"/>
    <sortCondition ref="C60:C107"/>
    <sortCondition ref="F60:F107"/>
    <sortCondition ref="D60:D107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3"/>
  <sheetViews>
    <sheetView workbookViewId="0">
      <selection activeCell="A83" sqref="A83"/>
    </sheetView>
  </sheetViews>
  <sheetFormatPr baseColWidth="10" defaultColWidth="11" defaultRowHeight="16" x14ac:dyDescent="0.2"/>
  <cols>
    <col min="1" max="2" width="26" customWidth="1"/>
    <col min="4" max="4" width="19.83203125" customWidth="1"/>
    <col min="5" max="5" width="20.33203125" customWidth="1"/>
    <col min="6" max="6" width="15.1640625" customWidth="1"/>
    <col min="12" max="12" width="10.83203125" style="5"/>
    <col min="16" max="16" width="10.83203125" style="7"/>
  </cols>
  <sheetData>
    <row r="1" spans="1:16" s="13" customFormat="1" ht="119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  <c r="M1" s="10" t="s">
        <v>53</v>
      </c>
      <c r="N1" s="10" t="s">
        <v>54</v>
      </c>
      <c r="O1" s="10" t="s">
        <v>55</v>
      </c>
      <c r="P1" s="12" t="s">
        <v>56</v>
      </c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1"/>
      <c r="N2" s="1"/>
    </row>
    <row r="3" spans="1:16" x14ac:dyDescent="0.2">
      <c r="A3" t="s">
        <v>41</v>
      </c>
      <c r="B3" s="2" t="s">
        <v>57</v>
      </c>
      <c r="C3" s="9">
        <v>796</v>
      </c>
      <c r="D3" t="s">
        <v>12</v>
      </c>
      <c r="E3" t="s">
        <v>23</v>
      </c>
      <c r="F3">
        <v>50</v>
      </c>
      <c r="G3">
        <v>0</v>
      </c>
      <c r="H3">
        <v>6</v>
      </c>
      <c r="I3">
        <v>20</v>
      </c>
      <c r="J3">
        <v>15</v>
      </c>
      <c r="K3" s="3">
        <f>J3/I3</f>
        <v>0.75</v>
      </c>
      <c r="M3">
        <v>10</v>
      </c>
      <c r="N3">
        <v>7</v>
      </c>
      <c r="O3" s="3">
        <f>N3/M3</f>
        <v>0.7</v>
      </c>
    </row>
    <row r="4" spans="1:16" x14ac:dyDescent="0.2">
      <c r="A4" t="s">
        <v>41</v>
      </c>
      <c r="B4" s="2" t="s">
        <v>57</v>
      </c>
      <c r="C4" s="9">
        <v>796</v>
      </c>
      <c r="D4" t="s">
        <v>12</v>
      </c>
      <c r="E4" t="s">
        <v>23</v>
      </c>
      <c r="F4">
        <v>50</v>
      </c>
      <c r="G4">
        <v>400</v>
      </c>
      <c r="H4">
        <v>6</v>
      </c>
      <c r="I4">
        <v>20</v>
      </c>
      <c r="J4">
        <v>20</v>
      </c>
      <c r="K4" s="3">
        <f t="shared" ref="K4:K14" si="0">J4/I4</f>
        <v>1</v>
      </c>
      <c r="L4" s="6">
        <f>K4-K3</f>
        <v>0.25</v>
      </c>
      <c r="M4">
        <v>10</v>
      </c>
      <c r="N4">
        <v>10</v>
      </c>
      <c r="O4" s="3">
        <f t="shared" ref="O4" si="1">N4/M4</f>
        <v>1</v>
      </c>
      <c r="P4" s="8">
        <f>O4-O3</f>
        <v>0.30000000000000004</v>
      </c>
    </row>
    <row r="5" spans="1:16" x14ac:dyDescent="0.2">
      <c r="A5" t="s">
        <v>41</v>
      </c>
      <c r="B5" s="2" t="s">
        <v>57</v>
      </c>
      <c r="C5" s="9">
        <v>796</v>
      </c>
      <c r="D5" t="s">
        <v>12</v>
      </c>
      <c r="E5" t="s">
        <v>23</v>
      </c>
      <c r="F5">
        <v>75</v>
      </c>
      <c r="G5">
        <v>0</v>
      </c>
      <c r="H5">
        <v>6</v>
      </c>
      <c r="I5">
        <v>28</v>
      </c>
      <c r="J5">
        <v>18</v>
      </c>
      <c r="K5" s="3">
        <f t="shared" si="0"/>
        <v>0.6428571428571429</v>
      </c>
      <c r="M5">
        <v>10</v>
      </c>
      <c r="N5">
        <v>5</v>
      </c>
      <c r="O5" s="3">
        <f>N5/M5</f>
        <v>0.5</v>
      </c>
    </row>
    <row r="6" spans="1:16" x14ac:dyDescent="0.2">
      <c r="A6" t="s">
        <v>41</v>
      </c>
      <c r="B6" s="2" t="s">
        <v>57</v>
      </c>
      <c r="C6" s="9">
        <v>796</v>
      </c>
      <c r="D6" t="s">
        <v>12</v>
      </c>
      <c r="E6" t="s">
        <v>23</v>
      </c>
      <c r="F6">
        <v>75</v>
      </c>
      <c r="G6">
        <v>400</v>
      </c>
      <c r="H6">
        <v>6</v>
      </c>
      <c r="I6">
        <v>22</v>
      </c>
      <c r="J6">
        <v>20</v>
      </c>
      <c r="K6" s="3">
        <f t="shared" si="0"/>
        <v>0.90909090909090906</v>
      </c>
      <c r="L6" s="6">
        <f>K6-K5</f>
        <v>0.26623376623376616</v>
      </c>
      <c r="M6">
        <v>10</v>
      </c>
      <c r="N6">
        <v>8</v>
      </c>
      <c r="O6" s="3">
        <f t="shared" ref="O6" si="2">N6/M6</f>
        <v>0.8</v>
      </c>
      <c r="P6" s="8">
        <f>O6-O5</f>
        <v>0.30000000000000004</v>
      </c>
    </row>
    <row r="7" spans="1:16" x14ac:dyDescent="0.2">
      <c r="A7" t="s">
        <v>41</v>
      </c>
      <c r="B7" s="2" t="s">
        <v>57</v>
      </c>
      <c r="C7" s="9">
        <v>796</v>
      </c>
      <c r="D7" t="s">
        <v>43</v>
      </c>
      <c r="E7" t="s">
        <v>23</v>
      </c>
      <c r="F7">
        <v>50</v>
      </c>
      <c r="G7">
        <v>0</v>
      </c>
      <c r="H7">
        <v>6</v>
      </c>
      <c r="I7">
        <v>40</v>
      </c>
      <c r="J7">
        <v>14</v>
      </c>
      <c r="K7" s="3">
        <f t="shared" si="0"/>
        <v>0.35</v>
      </c>
      <c r="M7">
        <v>5</v>
      </c>
      <c r="N7">
        <v>3</v>
      </c>
      <c r="O7" s="3">
        <f>N7/M7</f>
        <v>0.6</v>
      </c>
    </row>
    <row r="8" spans="1:16" x14ac:dyDescent="0.2">
      <c r="A8" t="s">
        <v>41</v>
      </c>
      <c r="B8" s="2" t="s">
        <v>57</v>
      </c>
      <c r="C8" s="9">
        <v>796</v>
      </c>
      <c r="D8" t="s">
        <v>43</v>
      </c>
      <c r="E8" t="s">
        <v>23</v>
      </c>
      <c r="F8">
        <v>50</v>
      </c>
      <c r="G8">
        <v>400</v>
      </c>
      <c r="H8">
        <v>6</v>
      </c>
      <c r="I8">
        <v>43</v>
      </c>
      <c r="J8">
        <v>43</v>
      </c>
      <c r="K8" s="3">
        <f t="shared" si="0"/>
        <v>1</v>
      </c>
      <c r="L8" s="6">
        <f>K8-K7</f>
        <v>0.65</v>
      </c>
      <c r="M8">
        <v>5</v>
      </c>
      <c r="N8">
        <v>5</v>
      </c>
      <c r="O8" s="3">
        <f t="shared" ref="O8" si="3">N8/M8</f>
        <v>1</v>
      </c>
      <c r="P8" s="8">
        <f>O8-O7</f>
        <v>0.4</v>
      </c>
    </row>
    <row r="9" spans="1:16" x14ac:dyDescent="0.2">
      <c r="A9" t="s">
        <v>41</v>
      </c>
      <c r="B9" s="2" t="s">
        <v>57</v>
      </c>
      <c r="C9" s="9">
        <v>796</v>
      </c>
      <c r="D9" t="s">
        <v>43</v>
      </c>
      <c r="E9" t="s">
        <v>23</v>
      </c>
      <c r="F9">
        <v>75</v>
      </c>
      <c r="G9">
        <v>0</v>
      </c>
      <c r="H9">
        <v>6</v>
      </c>
      <c r="I9">
        <v>39</v>
      </c>
      <c r="J9">
        <v>3</v>
      </c>
      <c r="K9" s="3">
        <f t="shared" si="0"/>
        <v>7.6923076923076927E-2</v>
      </c>
      <c r="M9">
        <v>5</v>
      </c>
      <c r="N9">
        <v>2</v>
      </c>
      <c r="O9" s="3">
        <f>N9/M9</f>
        <v>0.4</v>
      </c>
    </row>
    <row r="10" spans="1:16" x14ac:dyDescent="0.2">
      <c r="A10" t="s">
        <v>41</v>
      </c>
      <c r="B10" s="2" t="s">
        <v>57</v>
      </c>
      <c r="C10" s="9">
        <v>796</v>
      </c>
      <c r="D10" t="s">
        <v>43</v>
      </c>
      <c r="E10" t="s">
        <v>23</v>
      </c>
      <c r="F10">
        <v>75</v>
      </c>
      <c r="G10">
        <v>400</v>
      </c>
      <c r="H10">
        <v>6</v>
      </c>
      <c r="I10">
        <v>45</v>
      </c>
      <c r="J10">
        <v>21</v>
      </c>
      <c r="K10" s="3">
        <f t="shared" si="0"/>
        <v>0.46666666666666667</v>
      </c>
      <c r="L10" s="6">
        <f>K10-K9</f>
        <v>0.38974358974358975</v>
      </c>
      <c r="M10">
        <v>5</v>
      </c>
      <c r="N10">
        <v>2</v>
      </c>
      <c r="O10" s="3">
        <f t="shared" ref="O10" si="4">N10/M10</f>
        <v>0.4</v>
      </c>
      <c r="P10" s="8">
        <f>O10-O9</f>
        <v>0</v>
      </c>
    </row>
    <row r="11" spans="1:16" x14ac:dyDescent="0.2">
      <c r="A11" t="s">
        <v>41</v>
      </c>
      <c r="B11" s="2" t="s">
        <v>57</v>
      </c>
      <c r="C11" s="9">
        <v>796</v>
      </c>
      <c r="D11" t="s">
        <v>44</v>
      </c>
      <c r="E11" t="s">
        <v>23</v>
      </c>
      <c r="F11">
        <v>50</v>
      </c>
      <c r="G11">
        <v>0</v>
      </c>
      <c r="H11">
        <v>6</v>
      </c>
      <c r="I11">
        <v>33</v>
      </c>
      <c r="J11">
        <v>23</v>
      </c>
      <c r="K11" s="3">
        <f t="shared" si="0"/>
        <v>0.69696969696969702</v>
      </c>
      <c r="M11">
        <v>5</v>
      </c>
      <c r="N11">
        <v>4</v>
      </c>
      <c r="O11" s="3">
        <f>N11/M11</f>
        <v>0.8</v>
      </c>
    </row>
    <row r="12" spans="1:16" x14ac:dyDescent="0.2">
      <c r="A12" t="s">
        <v>41</v>
      </c>
      <c r="B12" s="2" t="s">
        <v>57</v>
      </c>
      <c r="C12" s="9">
        <v>796</v>
      </c>
      <c r="D12" t="s">
        <v>44</v>
      </c>
      <c r="E12" t="s">
        <v>23</v>
      </c>
      <c r="F12">
        <v>50</v>
      </c>
      <c r="G12">
        <v>400</v>
      </c>
      <c r="H12">
        <v>6</v>
      </c>
      <c r="I12">
        <v>25</v>
      </c>
      <c r="J12">
        <v>25</v>
      </c>
      <c r="K12" s="3">
        <f t="shared" si="0"/>
        <v>1</v>
      </c>
      <c r="L12" s="6">
        <f>K12-K11</f>
        <v>0.30303030303030298</v>
      </c>
      <c r="M12">
        <v>5</v>
      </c>
      <c r="N12">
        <v>5</v>
      </c>
      <c r="O12" s="3">
        <f t="shared" ref="O12:O14" si="5">N12/M12</f>
        <v>1</v>
      </c>
      <c r="P12" s="8">
        <f>O12-O11</f>
        <v>0.19999999999999996</v>
      </c>
    </row>
    <row r="13" spans="1:16" x14ac:dyDescent="0.2">
      <c r="A13" t="s">
        <v>41</v>
      </c>
      <c r="B13" s="2" t="s">
        <v>57</v>
      </c>
      <c r="C13" s="9">
        <v>796</v>
      </c>
      <c r="D13" t="s">
        <v>44</v>
      </c>
      <c r="E13" t="s">
        <v>23</v>
      </c>
      <c r="F13">
        <v>75</v>
      </c>
      <c r="G13">
        <v>0</v>
      </c>
      <c r="H13">
        <v>6</v>
      </c>
      <c r="I13">
        <v>26</v>
      </c>
      <c r="J13">
        <v>2</v>
      </c>
      <c r="K13" s="3">
        <f t="shared" si="0"/>
        <v>7.6923076923076927E-2</v>
      </c>
      <c r="M13">
        <v>5</v>
      </c>
      <c r="N13">
        <v>1</v>
      </c>
      <c r="O13" s="3">
        <f>N13/M13</f>
        <v>0.2</v>
      </c>
    </row>
    <row r="14" spans="1:16" x14ac:dyDescent="0.2">
      <c r="A14" t="s">
        <v>41</v>
      </c>
      <c r="B14" s="2" t="s">
        <v>57</v>
      </c>
      <c r="C14" s="9">
        <v>796</v>
      </c>
      <c r="D14" t="s">
        <v>44</v>
      </c>
      <c r="E14" t="s">
        <v>23</v>
      </c>
      <c r="F14">
        <v>75</v>
      </c>
      <c r="G14">
        <v>400</v>
      </c>
      <c r="H14">
        <v>6</v>
      </c>
      <c r="I14">
        <v>25</v>
      </c>
      <c r="J14">
        <v>18</v>
      </c>
      <c r="K14" s="3">
        <f t="shared" si="0"/>
        <v>0.72</v>
      </c>
      <c r="L14" s="6">
        <f>K14-K13</f>
        <v>0.6430769230769231</v>
      </c>
      <c r="M14">
        <v>5</v>
      </c>
      <c r="N14">
        <v>5</v>
      </c>
      <c r="O14" s="3">
        <f t="shared" si="5"/>
        <v>1</v>
      </c>
      <c r="P14" s="8">
        <f>O14-O13</f>
        <v>0.8</v>
      </c>
    </row>
    <row r="16" spans="1:16" x14ac:dyDescent="0.2">
      <c r="A16" t="s">
        <v>41</v>
      </c>
      <c r="B16" s="2" t="s">
        <v>57</v>
      </c>
      <c r="C16" t="s">
        <v>46</v>
      </c>
      <c r="D16" t="s">
        <v>12</v>
      </c>
      <c r="E16" t="s">
        <v>23</v>
      </c>
      <c r="F16">
        <v>50</v>
      </c>
      <c r="G16">
        <v>0</v>
      </c>
      <c r="H16">
        <v>6</v>
      </c>
      <c r="I16">
        <v>43</v>
      </c>
      <c r="J16">
        <v>0</v>
      </c>
      <c r="K16" s="3">
        <f>J16/I16</f>
        <v>0</v>
      </c>
    </row>
    <row r="17" spans="1:12" x14ac:dyDescent="0.2">
      <c r="A17" t="s">
        <v>41</v>
      </c>
      <c r="B17" s="2" t="s">
        <v>57</v>
      </c>
      <c r="C17" t="s">
        <v>96</v>
      </c>
      <c r="D17" t="s">
        <v>12</v>
      </c>
      <c r="E17" t="s">
        <v>23</v>
      </c>
      <c r="F17">
        <v>50</v>
      </c>
      <c r="G17">
        <v>400</v>
      </c>
      <c r="H17">
        <v>6</v>
      </c>
      <c r="I17">
        <v>50</v>
      </c>
      <c r="J17">
        <v>11</v>
      </c>
      <c r="K17" s="3">
        <f t="shared" ref="K17:K19" si="6">J17/I17</f>
        <v>0.22</v>
      </c>
      <c r="L17" s="6">
        <f>K17-K16</f>
        <v>0.22</v>
      </c>
    </row>
    <row r="18" spans="1:12" x14ac:dyDescent="0.2">
      <c r="A18" t="s">
        <v>41</v>
      </c>
      <c r="B18" s="2" t="s">
        <v>57</v>
      </c>
      <c r="C18" t="s">
        <v>97</v>
      </c>
      <c r="D18" t="s">
        <v>12</v>
      </c>
      <c r="E18" t="s">
        <v>23</v>
      </c>
      <c r="F18">
        <v>75</v>
      </c>
      <c r="G18">
        <v>0</v>
      </c>
      <c r="H18">
        <v>6</v>
      </c>
      <c r="I18">
        <v>52</v>
      </c>
      <c r="J18">
        <v>6</v>
      </c>
      <c r="K18" s="3">
        <f t="shared" si="6"/>
        <v>0.11538461538461539</v>
      </c>
    </row>
    <row r="19" spans="1:12" x14ac:dyDescent="0.2">
      <c r="A19" t="s">
        <v>41</v>
      </c>
      <c r="B19" s="2" t="s">
        <v>57</v>
      </c>
      <c r="C19" t="s">
        <v>98</v>
      </c>
      <c r="D19" t="s">
        <v>12</v>
      </c>
      <c r="E19" t="s">
        <v>23</v>
      </c>
      <c r="F19">
        <v>75</v>
      </c>
      <c r="G19">
        <v>400</v>
      </c>
      <c r="H19">
        <v>6</v>
      </c>
      <c r="I19">
        <v>52</v>
      </c>
      <c r="J19">
        <v>0</v>
      </c>
      <c r="K19" s="3">
        <f t="shared" si="6"/>
        <v>0</v>
      </c>
      <c r="L19" s="6">
        <f>K19-K18</f>
        <v>-0.11538461538461539</v>
      </c>
    </row>
    <row r="21" spans="1:12" x14ac:dyDescent="0.2">
      <c r="A21" t="s">
        <v>41</v>
      </c>
      <c r="B21" s="2" t="s">
        <v>57</v>
      </c>
      <c r="C21" t="s">
        <v>47</v>
      </c>
      <c r="D21" t="s">
        <v>12</v>
      </c>
      <c r="E21" t="s">
        <v>23</v>
      </c>
      <c r="F21">
        <v>50</v>
      </c>
      <c r="G21">
        <v>0</v>
      </c>
      <c r="H21">
        <v>6</v>
      </c>
      <c r="I21">
        <v>29</v>
      </c>
      <c r="J21">
        <v>2</v>
      </c>
      <c r="K21" s="3">
        <f>J21/I21</f>
        <v>6.8965517241379309E-2</v>
      </c>
    </row>
    <row r="22" spans="1:12" x14ac:dyDescent="0.2">
      <c r="A22" t="s">
        <v>41</v>
      </c>
      <c r="B22" s="2" t="s">
        <v>57</v>
      </c>
      <c r="C22" t="s">
        <v>99</v>
      </c>
      <c r="D22" t="s">
        <v>12</v>
      </c>
      <c r="E22" t="s">
        <v>23</v>
      </c>
      <c r="F22">
        <v>50</v>
      </c>
      <c r="G22">
        <v>400</v>
      </c>
      <c r="H22">
        <v>6</v>
      </c>
      <c r="I22">
        <v>36</v>
      </c>
      <c r="J22">
        <v>30</v>
      </c>
      <c r="K22" s="3">
        <f t="shared" ref="K22:K24" si="7">J22/I22</f>
        <v>0.83333333333333337</v>
      </c>
      <c r="L22" s="6">
        <f>K22-K21</f>
        <v>0.76436781609195403</v>
      </c>
    </row>
    <row r="23" spans="1:12" x14ac:dyDescent="0.2">
      <c r="A23" t="s">
        <v>41</v>
      </c>
      <c r="B23" s="2" t="s">
        <v>57</v>
      </c>
      <c r="C23" t="s">
        <v>100</v>
      </c>
      <c r="D23" t="s">
        <v>12</v>
      </c>
      <c r="E23" t="s">
        <v>23</v>
      </c>
      <c r="F23">
        <v>75</v>
      </c>
      <c r="G23">
        <v>0</v>
      </c>
      <c r="H23">
        <v>6</v>
      </c>
      <c r="I23">
        <v>34</v>
      </c>
      <c r="J23">
        <v>3</v>
      </c>
      <c r="K23" s="3">
        <f t="shared" si="7"/>
        <v>8.8235294117647065E-2</v>
      </c>
    </row>
    <row r="24" spans="1:12" x14ac:dyDescent="0.2">
      <c r="A24" t="s">
        <v>41</v>
      </c>
      <c r="B24" s="2" t="s">
        <v>57</v>
      </c>
      <c r="C24" t="s">
        <v>101</v>
      </c>
      <c r="D24" t="s">
        <v>12</v>
      </c>
      <c r="E24" t="s">
        <v>23</v>
      </c>
      <c r="F24">
        <v>75</v>
      </c>
      <c r="G24">
        <v>400</v>
      </c>
      <c r="H24">
        <v>6</v>
      </c>
      <c r="I24">
        <v>37</v>
      </c>
      <c r="J24">
        <v>2</v>
      </c>
      <c r="K24" s="3">
        <f t="shared" si="7"/>
        <v>5.4054054054054057E-2</v>
      </c>
      <c r="L24" s="6">
        <f>K24-K23</f>
        <v>-3.4181240063593007E-2</v>
      </c>
    </row>
    <row r="26" spans="1:12" x14ac:dyDescent="0.2">
      <c r="A26" t="s">
        <v>41</v>
      </c>
      <c r="B26" s="2" t="s">
        <v>57</v>
      </c>
      <c r="C26" t="s">
        <v>48</v>
      </c>
      <c r="D26" t="s">
        <v>12</v>
      </c>
      <c r="E26" t="s">
        <v>23</v>
      </c>
      <c r="F26">
        <v>50</v>
      </c>
      <c r="G26">
        <v>0</v>
      </c>
      <c r="H26">
        <v>6</v>
      </c>
      <c r="I26">
        <v>26</v>
      </c>
      <c r="J26">
        <v>26</v>
      </c>
      <c r="K26" s="3">
        <f>J26/I26</f>
        <v>1</v>
      </c>
    </row>
    <row r="27" spans="1:12" x14ac:dyDescent="0.2">
      <c r="A27" t="s">
        <v>41</v>
      </c>
      <c r="B27" s="2" t="s">
        <v>57</v>
      </c>
      <c r="C27" t="s">
        <v>102</v>
      </c>
      <c r="D27" t="s">
        <v>12</v>
      </c>
      <c r="E27" t="s">
        <v>23</v>
      </c>
      <c r="F27">
        <v>50</v>
      </c>
      <c r="G27">
        <v>400</v>
      </c>
      <c r="H27">
        <v>6</v>
      </c>
      <c r="I27">
        <v>38</v>
      </c>
      <c r="J27">
        <v>37</v>
      </c>
      <c r="K27" s="3">
        <f t="shared" ref="K27:K29" si="8">J27/I27</f>
        <v>0.97368421052631582</v>
      </c>
      <c r="L27" s="6">
        <f>K27-K26</f>
        <v>-2.6315789473684181E-2</v>
      </c>
    </row>
    <row r="28" spans="1:12" x14ac:dyDescent="0.2">
      <c r="A28" t="s">
        <v>41</v>
      </c>
      <c r="B28" s="2" t="s">
        <v>57</v>
      </c>
      <c r="C28" t="s">
        <v>103</v>
      </c>
      <c r="D28" t="s">
        <v>12</v>
      </c>
      <c r="E28" t="s">
        <v>23</v>
      </c>
      <c r="F28">
        <v>75</v>
      </c>
      <c r="G28">
        <v>0</v>
      </c>
      <c r="H28">
        <v>6</v>
      </c>
      <c r="I28">
        <v>44</v>
      </c>
      <c r="J28">
        <v>44</v>
      </c>
      <c r="K28" s="3">
        <f t="shared" si="8"/>
        <v>1</v>
      </c>
    </row>
    <row r="29" spans="1:12" x14ac:dyDescent="0.2">
      <c r="A29" t="s">
        <v>41</v>
      </c>
      <c r="B29" s="2" t="s">
        <v>57</v>
      </c>
      <c r="C29" t="s">
        <v>104</v>
      </c>
      <c r="D29" t="s">
        <v>12</v>
      </c>
      <c r="E29" t="s">
        <v>23</v>
      </c>
      <c r="F29">
        <v>75</v>
      </c>
      <c r="G29">
        <v>400</v>
      </c>
      <c r="H29">
        <v>6</v>
      </c>
      <c r="I29">
        <v>36</v>
      </c>
      <c r="J29">
        <v>36</v>
      </c>
      <c r="K29" s="3">
        <f t="shared" si="8"/>
        <v>1</v>
      </c>
      <c r="L29" s="6">
        <f>K29-K28</f>
        <v>0</v>
      </c>
    </row>
    <row r="31" spans="1:12" x14ac:dyDescent="0.2">
      <c r="A31" t="s">
        <v>41</v>
      </c>
      <c r="B31" s="2" t="s">
        <v>57</v>
      </c>
      <c r="C31" t="s">
        <v>49</v>
      </c>
      <c r="D31" t="s">
        <v>12</v>
      </c>
      <c r="E31" t="s">
        <v>23</v>
      </c>
      <c r="F31">
        <v>50</v>
      </c>
      <c r="G31">
        <v>0</v>
      </c>
      <c r="H31">
        <v>6</v>
      </c>
      <c r="I31">
        <v>50</v>
      </c>
      <c r="J31">
        <v>2</v>
      </c>
      <c r="K31" s="3">
        <f>J31/I31</f>
        <v>0.04</v>
      </c>
    </row>
    <row r="32" spans="1:12" x14ac:dyDescent="0.2">
      <c r="A32" t="s">
        <v>41</v>
      </c>
      <c r="B32" s="2" t="s">
        <v>57</v>
      </c>
      <c r="C32" t="s">
        <v>105</v>
      </c>
      <c r="D32" t="s">
        <v>12</v>
      </c>
      <c r="E32" t="s">
        <v>23</v>
      </c>
      <c r="F32">
        <v>50</v>
      </c>
      <c r="G32">
        <v>400</v>
      </c>
      <c r="H32">
        <v>6</v>
      </c>
      <c r="I32">
        <v>24</v>
      </c>
      <c r="J32">
        <v>22</v>
      </c>
      <c r="K32" s="3">
        <f t="shared" ref="K32:K34" si="9">J32/I32</f>
        <v>0.91666666666666663</v>
      </c>
      <c r="L32" s="6">
        <f>K32-K31</f>
        <v>0.87666666666666659</v>
      </c>
    </row>
    <row r="33" spans="1:12" x14ac:dyDescent="0.2">
      <c r="A33" t="s">
        <v>41</v>
      </c>
      <c r="B33" s="2" t="s">
        <v>57</v>
      </c>
      <c r="C33" t="s">
        <v>106</v>
      </c>
      <c r="D33" t="s">
        <v>12</v>
      </c>
      <c r="E33" t="s">
        <v>23</v>
      </c>
      <c r="F33">
        <v>75</v>
      </c>
      <c r="G33">
        <v>0</v>
      </c>
      <c r="H33">
        <v>6</v>
      </c>
      <c r="I33">
        <v>43</v>
      </c>
      <c r="J33">
        <v>30</v>
      </c>
      <c r="K33" s="3">
        <f t="shared" si="9"/>
        <v>0.69767441860465118</v>
      </c>
    </row>
    <row r="34" spans="1:12" x14ac:dyDescent="0.2">
      <c r="A34" t="s">
        <v>41</v>
      </c>
      <c r="B34" s="2" t="s">
        <v>57</v>
      </c>
      <c r="C34" t="s">
        <v>107</v>
      </c>
      <c r="D34" t="s">
        <v>12</v>
      </c>
      <c r="E34" t="s">
        <v>23</v>
      </c>
      <c r="F34">
        <v>75</v>
      </c>
      <c r="G34">
        <v>400</v>
      </c>
      <c r="H34">
        <v>6</v>
      </c>
      <c r="I34">
        <v>45</v>
      </c>
      <c r="J34">
        <v>30</v>
      </c>
      <c r="K34" s="3">
        <f t="shared" si="9"/>
        <v>0.66666666666666663</v>
      </c>
      <c r="L34" s="6">
        <f>K34-K33</f>
        <v>-3.1007751937984551E-2</v>
      </c>
    </row>
    <row r="36" spans="1:12" x14ac:dyDescent="0.2">
      <c r="A36" t="s">
        <v>41</v>
      </c>
      <c r="B36" s="2" t="s">
        <v>57</v>
      </c>
      <c r="C36" t="s">
        <v>50</v>
      </c>
      <c r="D36" t="s">
        <v>12</v>
      </c>
      <c r="E36" t="s">
        <v>23</v>
      </c>
      <c r="F36">
        <v>50</v>
      </c>
      <c r="G36">
        <v>0</v>
      </c>
      <c r="H36">
        <v>6</v>
      </c>
      <c r="I36">
        <v>21</v>
      </c>
      <c r="J36">
        <v>13</v>
      </c>
      <c r="K36" s="3">
        <f>J36/I36</f>
        <v>0.61904761904761907</v>
      </c>
    </row>
    <row r="37" spans="1:12" x14ac:dyDescent="0.2">
      <c r="A37" t="s">
        <v>41</v>
      </c>
      <c r="B37" s="2" t="s">
        <v>57</v>
      </c>
      <c r="C37" t="s">
        <v>108</v>
      </c>
      <c r="D37" t="s">
        <v>12</v>
      </c>
      <c r="E37" t="s">
        <v>23</v>
      </c>
      <c r="F37">
        <v>50</v>
      </c>
      <c r="G37">
        <v>400</v>
      </c>
      <c r="H37">
        <v>6</v>
      </c>
      <c r="I37">
        <v>50</v>
      </c>
      <c r="J37">
        <v>50</v>
      </c>
      <c r="K37" s="3">
        <f t="shared" ref="K37:K39" si="10">J37/I37</f>
        <v>1</v>
      </c>
      <c r="L37" s="6">
        <f>K37-K36</f>
        <v>0.38095238095238093</v>
      </c>
    </row>
    <row r="38" spans="1:12" x14ac:dyDescent="0.2">
      <c r="A38" t="s">
        <v>41</v>
      </c>
      <c r="B38" s="2" t="s">
        <v>57</v>
      </c>
      <c r="C38" t="s">
        <v>109</v>
      </c>
      <c r="D38" t="s">
        <v>12</v>
      </c>
      <c r="E38" t="s">
        <v>23</v>
      </c>
      <c r="F38">
        <v>75</v>
      </c>
      <c r="G38">
        <v>0</v>
      </c>
      <c r="H38">
        <v>6</v>
      </c>
      <c r="I38">
        <v>33</v>
      </c>
      <c r="J38">
        <v>33</v>
      </c>
      <c r="K38" s="3">
        <f t="shared" si="10"/>
        <v>1</v>
      </c>
    </row>
    <row r="39" spans="1:12" x14ac:dyDescent="0.2">
      <c r="A39" t="s">
        <v>41</v>
      </c>
      <c r="B39" s="2" t="s">
        <v>57</v>
      </c>
      <c r="C39" t="s">
        <v>110</v>
      </c>
      <c r="D39" t="s">
        <v>12</v>
      </c>
      <c r="E39" t="s">
        <v>23</v>
      </c>
      <c r="F39">
        <v>75</v>
      </c>
      <c r="G39">
        <v>400</v>
      </c>
      <c r="H39">
        <v>6</v>
      </c>
      <c r="I39">
        <v>33</v>
      </c>
      <c r="J39">
        <v>33</v>
      </c>
      <c r="K39" s="3">
        <f t="shared" si="10"/>
        <v>1</v>
      </c>
      <c r="L39" s="6">
        <f>K39-K38</f>
        <v>0</v>
      </c>
    </row>
    <row r="41" spans="1:12" x14ac:dyDescent="0.2">
      <c r="A41" t="s">
        <v>41</v>
      </c>
      <c r="B41" s="2" t="s">
        <v>57</v>
      </c>
      <c r="C41" t="s">
        <v>51</v>
      </c>
      <c r="D41" t="s">
        <v>12</v>
      </c>
      <c r="E41" t="s">
        <v>23</v>
      </c>
      <c r="F41">
        <v>50</v>
      </c>
      <c r="G41">
        <v>0</v>
      </c>
      <c r="H41">
        <v>6</v>
      </c>
      <c r="I41">
        <v>43</v>
      </c>
      <c r="J41">
        <v>0</v>
      </c>
      <c r="K41" s="3">
        <f>J41/I41</f>
        <v>0</v>
      </c>
    </row>
    <row r="42" spans="1:12" x14ac:dyDescent="0.2">
      <c r="A42" t="s">
        <v>41</v>
      </c>
      <c r="B42" s="2" t="s">
        <v>57</v>
      </c>
      <c r="C42" t="s">
        <v>111</v>
      </c>
      <c r="D42" t="s">
        <v>12</v>
      </c>
      <c r="E42" t="s">
        <v>23</v>
      </c>
      <c r="F42">
        <v>50</v>
      </c>
      <c r="G42">
        <v>400</v>
      </c>
      <c r="H42">
        <v>6</v>
      </c>
      <c r="I42">
        <v>39</v>
      </c>
      <c r="J42">
        <v>2</v>
      </c>
      <c r="K42" s="3">
        <f t="shared" ref="K42:K44" si="11">J42/I42</f>
        <v>5.128205128205128E-2</v>
      </c>
      <c r="L42" s="6">
        <f>K42-K41</f>
        <v>5.128205128205128E-2</v>
      </c>
    </row>
    <row r="43" spans="1:12" x14ac:dyDescent="0.2">
      <c r="A43" t="s">
        <v>41</v>
      </c>
      <c r="B43" s="2" t="s">
        <v>57</v>
      </c>
      <c r="C43" t="s">
        <v>112</v>
      </c>
      <c r="D43" t="s">
        <v>12</v>
      </c>
      <c r="E43" t="s">
        <v>23</v>
      </c>
      <c r="F43">
        <v>75</v>
      </c>
      <c r="G43">
        <v>0</v>
      </c>
      <c r="H43">
        <v>6</v>
      </c>
      <c r="I43">
        <v>39</v>
      </c>
      <c r="J43">
        <v>0</v>
      </c>
      <c r="K43" s="3">
        <f t="shared" si="11"/>
        <v>0</v>
      </c>
    </row>
    <row r="44" spans="1:12" x14ac:dyDescent="0.2">
      <c r="A44" t="s">
        <v>41</v>
      </c>
      <c r="B44" s="2" t="s">
        <v>57</v>
      </c>
      <c r="C44" t="s">
        <v>113</v>
      </c>
      <c r="D44" t="s">
        <v>12</v>
      </c>
      <c r="E44" t="s">
        <v>23</v>
      </c>
      <c r="F44">
        <v>75</v>
      </c>
      <c r="G44">
        <v>400</v>
      </c>
      <c r="H44">
        <v>6</v>
      </c>
      <c r="I44">
        <v>34</v>
      </c>
      <c r="J44">
        <v>0</v>
      </c>
      <c r="K44" s="3">
        <f t="shared" si="11"/>
        <v>0</v>
      </c>
      <c r="L44" s="6">
        <f>K44-K43</f>
        <v>0</v>
      </c>
    </row>
    <row r="46" spans="1:12" x14ac:dyDescent="0.2">
      <c r="A46" t="s">
        <v>41</v>
      </c>
      <c r="B46" s="2" t="s">
        <v>57</v>
      </c>
      <c r="C46" t="s">
        <v>52</v>
      </c>
      <c r="D46" t="s">
        <v>12</v>
      </c>
      <c r="E46" t="s">
        <v>23</v>
      </c>
      <c r="F46">
        <v>50</v>
      </c>
      <c r="G46">
        <v>0</v>
      </c>
      <c r="H46">
        <v>6</v>
      </c>
      <c r="I46">
        <v>52</v>
      </c>
      <c r="J46">
        <v>52</v>
      </c>
      <c r="K46" s="3">
        <f>J46/I46</f>
        <v>1</v>
      </c>
    </row>
    <row r="47" spans="1:12" x14ac:dyDescent="0.2">
      <c r="A47" t="s">
        <v>41</v>
      </c>
      <c r="B47" s="2" t="s">
        <v>57</v>
      </c>
      <c r="C47" t="s">
        <v>114</v>
      </c>
      <c r="D47" t="s">
        <v>12</v>
      </c>
      <c r="E47" t="s">
        <v>23</v>
      </c>
      <c r="F47">
        <v>50</v>
      </c>
      <c r="G47">
        <v>400</v>
      </c>
      <c r="H47">
        <v>6</v>
      </c>
      <c r="I47">
        <v>53</v>
      </c>
      <c r="J47">
        <v>53</v>
      </c>
      <c r="K47" s="3">
        <f t="shared" ref="K47:K49" si="12">J47/I47</f>
        <v>1</v>
      </c>
      <c r="L47" s="6">
        <f>K47-K46</f>
        <v>0</v>
      </c>
    </row>
    <row r="48" spans="1:12" x14ac:dyDescent="0.2">
      <c r="A48" t="s">
        <v>41</v>
      </c>
      <c r="B48" s="2" t="s">
        <v>57</v>
      </c>
      <c r="C48" t="s">
        <v>115</v>
      </c>
      <c r="D48" t="s">
        <v>12</v>
      </c>
      <c r="E48" t="s">
        <v>23</v>
      </c>
      <c r="F48">
        <v>75</v>
      </c>
      <c r="G48">
        <v>0</v>
      </c>
      <c r="H48">
        <v>6</v>
      </c>
      <c r="I48">
        <v>37</v>
      </c>
      <c r="J48">
        <v>37</v>
      </c>
      <c r="K48" s="3">
        <f t="shared" si="12"/>
        <v>1</v>
      </c>
    </row>
    <row r="49" spans="1:12" x14ac:dyDescent="0.2">
      <c r="A49" t="s">
        <v>41</v>
      </c>
      <c r="B49" s="2" t="s">
        <v>57</v>
      </c>
      <c r="C49" t="s">
        <v>116</v>
      </c>
      <c r="D49" t="s">
        <v>12</v>
      </c>
      <c r="E49" t="s">
        <v>23</v>
      </c>
      <c r="F49">
        <v>75</v>
      </c>
      <c r="G49">
        <v>400</v>
      </c>
      <c r="H49">
        <v>6</v>
      </c>
      <c r="I49">
        <v>43</v>
      </c>
      <c r="J49">
        <v>43</v>
      </c>
      <c r="K49" s="3">
        <f t="shared" si="12"/>
        <v>1</v>
      </c>
      <c r="L49" s="6">
        <f>K49-K48</f>
        <v>0</v>
      </c>
    </row>
    <row r="52" spans="1:12" x14ac:dyDescent="0.2">
      <c r="A52" t="s">
        <v>58</v>
      </c>
    </row>
    <row r="53" spans="1:12" ht="19" x14ac:dyDescent="0.25">
      <c r="A53" s="14" t="s">
        <v>59</v>
      </c>
    </row>
    <row r="54" spans="1:12" ht="19" x14ac:dyDescent="0.25">
      <c r="A54" s="14" t="s">
        <v>60</v>
      </c>
    </row>
    <row r="55" spans="1:12" ht="19" x14ac:dyDescent="0.25">
      <c r="A55" s="14" t="s">
        <v>61</v>
      </c>
    </row>
    <row r="56" spans="1:12" ht="19" x14ac:dyDescent="0.25">
      <c r="A56" s="14" t="s">
        <v>62</v>
      </c>
    </row>
    <row r="57" spans="1:12" ht="19" x14ac:dyDescent="0.25">
      <c r="A57" s="14" t="s">
        <v>63</v>
      </c>
    </row>
    <row r="58" spans="1:12" ht="19" x14ac:dyDescent="0.25">
      <c r="A58" s="14" t="s">
        <v>64</v>
      </c>
    </row>
    <row r="59" spans="1:12" ht="19" x14ac:dyDescent="0.25">
      <c r="A59" s="14" t="s">
        <v>65</v>
      </c>
    </row>
    <row r="60" spans="1:12" ht="19" x14ac:dyDescent="0.25">
      <c r="A60" s="14" t="s">
        <v>66</v>
      </c>
    </row>
    <row r="61" spans="1:12" ht="19" x14ac:dyDescent="0.25">
      <c r="A61" s="14" t="s">
        <v>67</v>
      </c>
    </row>
    <row r="62" spans="1:12" ht="19" x14ac:dyDescent="0.25">
      <c r="A62" s="15" t="s">
        <v>68</v>
      </c>
    </row>
    <row r="63" spans="1:12" ht="19" x14ac:dyDescent="0.25">
      <c r="A63" s="14" t="s">
        <v>69</v>
      </c>
    </row>
    <row r="64" spans="1:12" ht="19" x14ac:dyDescent="0.25">
      <c r="A64" s="14" t="s">
        <v>70</v>
      </c>
    </row>
    <row r="65" spans="1:1" ht="19" x14ac:dyDescent="0.25">
      <c r="A65" s="14" t="s">
        <v>71</v>
      </c>
    </row>
    <row r="66" spans="1:1" ht="19" x14ac:dyDescent="0.25">
      <c r="A66" s="14" t="s">
        <v>72</v>
      </c>
    </row>
    <row r="67" spans="1:1" ht="19" x14ac:dyDescent="0.25">
      <c r="A67" s="14" t="s">
        <v>73</v>
      </c>
    </row>
    <row r="68" spans="1:1" ht="19" x14ac:dyDescent="0.25">
      <c r="A68" s="14" t="s">
        <v>74</v>
      </c>
    </row>
    <row r="69" spans="1:1" ht="19" x14ac:dyDescent="0.25">
      <c r="A69" s="14" t="s">
        <v>75</v>
      </c>
    </row>
    <row r="70" spans="1:1" ht="19" x14ac:dyDescent="0.25">
      <c r="A70" s="14" t="s">
        <v>76</v>
      </c>
    </row>
    <row r="71" spans="1:1" ht="19" x14ac:dyDescent="0.25">
      <c r="A71" s="14" t="s">
        <v>77</v>
      </c>
    </row>
    <row r="72" spans="1:1" ht="19" x14ac:dyDescent="0.25">
      <c r="A72" s="14" t="s">
        <v>78</v>
      </c>
    </row>
    <row r="73" spans="1:1" ht="19" x14ac:dyDescent="0.25">
      <c r="A73" s="14" t="s">
        <v>79</v>
      </c>
    </row>
    <row r="74" spans="1:1" ht="19" x14ac:dyDescent="0.25">
      <c r="A74" s="14" t="s">
        <v>80</v>
      </c>
    </row>
    <row r="75" spans="1:1" ht="19" x14ac:dyDescent="0.25">
      <c r="A75" s="14" t="s">
        <v>81</v>
      </c>
    </row>
    <row r="76" spans="1:1" ht="19" x14ac:dyDescent="0.25">
      <c r="A76" s="14" t="s">
        <v>82</v>
      </c>
    </row>
    <row r="77" spans="1:1" ht="19" x14ac:dyDescent="0.25">
      <c r="A77" s="14" t="s">
        <v>83</v>
      </c>
    </row>
    <row r="78" spans="1:1" ht="19" x14ac:dyDescent="0.25">
      <c r="A78" s="14" t="s">
        <v>84</v>
      </c>
    </row>
    <row r="79" spans="1:1" ht="19" x14ac:dyDescent="0.25">
      <c r="A79" s="14" t="s">
        <v>85</v>
      </c>
    </row>
    <row r="80" spans="1:1" ht="19" x14ac:dyDescent="0.25">
      <c r="A80" s="14" t="s">
        <v>86</v>
      </c>
    </row>
    <row r="83" spans="1:11" ht="19" x14ac:dyDescent="0.25">
      <c r="A83" s="24" t="s">
        <v>17</v>
      </c>
    </row>
    <row r="85" spans="1:11" ht="85" x14ac:dyDescent="0.2">
      <c r="A85" s="17" t="s">
        <v>0</v>
      </c>
      <c r="B85" s="17" t="s">
        <v>1</v>
      </c>
      <c r="C85" s="17" t="s">
        <v>2</v>
      </c>
      <c r="D85" s="17" t="s">
        <v>3</v>
      </c>
      <c r="E85" s="17" t="s">
        <v>4</v>
      </c>
      <c r="F85" s="17" t="s">
        <v>5</v>
      </c>
      <c r="G85" s="17" t="s">
        <v>6</v>
      </c>
      <c r="H85" s="17" t="s">
        <v>7</v>
      </c>
      <c r="I85" s="17" t="s">
        <v>8</v>
      </c>
      <c r="J85" s="17" t="s">
        <v>9</v>
      </c>
      <c r="K85" s="17" t="s">
        <v>10</v>
      </c>
    </row>
    <row r="86" spans="1:11" x14ac:dyDescent="0.2">
      <c r="A86" s="19" t="s">
        <v>41</v>
      </c>
      <c r="B86" s="18" t="s">
        <v>57</v>
      </c>
      <c r="C86" s="23">
        <v>796</v>
      </c>
      <c r="D86" s="19" t="s">
        <v>12</v>
      </c>
      <c r="E86" s="19" t="s">
        <v>23</v>
      </c>
      <c r="F86" s="19">
        <v>50</v>
      </c>
      <c r="G86" s="19">
        <v>0</v>
      </c>
      <c r="H86" s="19">
        <v>6</v>
      </c>
      <c r="I86" s="19">
        <v>20</v>
      </c>
      <c r="J86" s="19">
        <v>15</v>
      </c>
      <c r="K86" s="20">
        <v>0.75</v>
      </c>
    </row>
    <row r="87" spans="1:11" x14ac:dyDescent="0.2">
      <c r="A87" s="19" t="s">
        <v>41</v>
      </c>
      <c r="B87" s="18" t="s">
        <v>57</v>
      </c>
      <c r="C87" s="23">
        <v>796</v>
      </c>
      <c r="D87" s="19" t="s">
        <v>43</v>
      </c>
      <c r="E87" s="19" t="s">
        <v>23</v>
      </c>
      <c r="F87" s="19">
        <v>50</v>
      </c>
      <c r="G87" s="19">
        <v>0</v>
      </c>
      <c r="H87" s="19">
        <v>6</v>
      </c>
      <c r="I87" s="19">
        <v>40</v>
      </c>
      <c r="J87" s="19">
        <v>14</v>
      </c>
      <c r="K87" s="20">
        <v>0.35</v>
      </c>
    </row>
    <row r="88" spans="1:11" x14ac:dyDescent="0.2">
      <c r="A88" s="19" t="s">
        <v>41</v>
      </c>
      <c r="B88" s="18" t="s">
        <v>57</v>
      </c>
      <c r="C88" s="23">
        <v>796</v>
      </c>
      <c r="D88" s="19" t="s">
        <v>44</v>
      </c>
      <c r="E88" s="19" t="s">
        <v>23</v>
      </c>
      <c r="F88" s="19">
        <v>50</v>
      </c>
      <c r="G88" s="19">
        <v>0</v>
      </c>
      <c r="H88" s="19">
        <v>6</v>
      </c>
      <c r="I88" s="19">
        <v>33</v>
      </c>
      <c r="J88" s="19">
        <v>23</v>
      </c>
      <c r="K88" s="20">
        <v>0.7</v>
      </c>
    </row>
    <row r="89" spans="1:11" x14ac:dyDescent="0.2">
      <c r="A89" s="19" t="s">
        <v>41</v>
      </c>
      <c r="B89" s="18" t="s">
        <v>57</v>
      </c>
      <c r="C89" s="23">
        <v>796</v>
      </c>
      <c r="D89" s="19" t="s">
        <v>12</v>
      </c>
      <c r="E89" s="19" t="s">
        <v>23</v>
      </c>
      <c r="F89" s="19">
        <v>75</v>
      </c>
      <c r="G89" s="19">
        <v>0</v>
      </c>
      <c r="H89" s="19">
        <v>6</v>
      </c>
      <c r="I89" s="19">
        <v>28</v>
      </c>
      <c r="J89" s="19">
        <v>18</v>
      </c>
      <c r="K89" s="20">
        <v>0.64</v>
      </c>
    </row>
    <row r="90" spans="1:11" x14ac:dyDescent="0.2">
      <c r="A90" s="19" t="s">
        <v>41</v>
      </c>
      <c r="B90" s="18" t="s">
        <v>57</v>
      </c>
      <c r="C90" s="23">
        <v>796</v>
      </c>
      <c r="D90" s="19" t="s">
        <v>43</v>
      </c>
      <c r="E90" s="19" t="s">
        <v>23</v>
      </c>
      <c r="F90" s="19">
        <v>75</v>
      </c>
      <c r="G90" s="19">
        <v>0</v>
      </c>
      <c r="H90" s="19">
        <v>6</v>
      </c>
      <c r="I90" s="19">
        <v>39</v>
      </c>
      <c r="J90" s="19">
        <v>3</v>
      </c>
      <c r="K90" s="20">
        <v>0.08</v>
      </c>
    </row>
    <row r="91" spans="1:11" x14ac:dyDescent="0.2">
      <c r="A91" s="19" t="s">
        <v>41</v>
      </c>
      <c r="B91" s="18" t="s">
        <v>57</v>
      </c>
      <c r="C91" s="23">
        <v>796</v>
      </c>
      <c r="D91" s="19" t="s">
        <v>44</v>
      </c>
      <c r="E91" s="19" t="s">
        <v>23</v>
      </c>
      <c r="F91" s="19">
        <v>75</v>
      </c>
      <c r="G91" s="19">
        <v>0</v>
      </c>
      <c r="H91" s="19">
        <v>6</v>
      </c>
      <c r="I91" s="19">
        <v>26</v>
      </c>
      <c r="J91" s="19">
        <v>2</v>
      </c>
      <c r="K91" s="20">
        <v>0.08</v>
      </c>
    </row>
    <row r="92" spans="1:11" x14ac:dyDescent="0.2">
      <c r="A92" s="19" t="s">
        <v>41</v>
      </c>
      <c r="B92" s="18" t="s">
        <v>57</v>
      </c>
      <c r="C92" s="19" t="s">
        <v>46</v>
      </c>
      <c r="D92" s="19" t="s">
        <v>12</v>
      </c>
      <c r="E92" s="19" t="s">
        <v>23</v>
      </c>
      <c r="F92" s="19">
        <v>50</v>
      </c>
      <c r="G92" s="19">
        <v>0</v>
      </c>
      <c r="H92" s="19">
        <v>6</v>
      </c>
      <c r="I92" s="19">
        <v>43</v>
      </c>
      <c r="J92" s="19">
        <v>0</v>
      </c>
      <c r="K92" s="20">
        <v>0</v>
      </c>
    </row>
    <row r="93" spans="1:11" x14ac:dyDescent="0.2">
      <c r="A93" s="19" t="s">
        <v>41</v>
      </c>
      <c r="B93" s="18" t="s">
        <v>57</v>
      </c>
      <c r="C93" s="19" t="s">
        <v>46</v>
      </c>
      <c r="D93" s="19" t="s">
        <v>12</v>
      </c>
      <c r="E93" s="19" t="s">
        <v>23</v>
      </c>
      <c r="F93" s="19">
        <v>75</v>
      </c>
      <c r="G93" s="19">
        <v>0</v>
      </c>
      <c r="H93" s="19">
        <v>6</v>
      </c>
      <c r="I93" s="19">
        <v>52</v>
      </c>
      <c r="J93" s="19">
        <v>6</v>
      </c>
      <c r="K93" s="20">
        <v>0.12</v>
      </c>
    </row>
    <row r="94" spans="1:11" x14ac:dyDescent="0.2">
      <c r="A94" s="19" t="s">
        <v>41</v>
      </c>
      <c r="B94" s="18" t="s">
        <v>57</v>
      </c>
      <c r="C94" s="19" t="s">
        <v>47</v>
      </c>
      <c r="D94" s="19" t="s">
        <v>12</v>
      </c>
      <c r="E94" s="19" t="s">
        <v>23</v>
      </c>
      <c r="F94" s="19">
        <v>50</v>
      </c>
      <c r="G94" s="19">
        <v>0</v>
      </c>
      <c r="H94" s="19">
        <v>6</v>
      </c>
      <c r="I94" s="19">
        <v>29</v>
      </c>
      <c r="J94" s="19">
        <v>2</v>
      </c>
      <c r="K94" s="20">
        <v>7.0000000000000007E-2</v>
      </c>
    </row>
    <row r="95" spans="1:11" x14ac:dyDescent="0.2">
      <c r="A95" s="19" t="s">
        <v>41</v>
      </c>
      <c r="B95" s="18" t="s">
        <v>57</v>
      </c>
      <c r="C95" s="19" t="s">
        <v>47</v>
      </c>
      <c r="D95" s="19" t="s">
        <v>12</v>
      </c>
      <c r="E95" s="19" t="s">
        <v>23</v>
      </c>
      <c r="F95" s="19">
        <v>75</v>
      </c>
      <c r="G95" s="19">
        <v>0</v>
      </c>
      <c r="H95" s="19">
        <v>6</v>
      </c>
      <c r="I95" s="19">
        <v>34</v>
      </c>
      <c r="J95" s="19">
        <v>3</v>
      </c>
      <c r="K95" s="20">
        <v>0.09</v>
      </c>
    </row>
    <row r="96" spans="1:11" x14ac:dyDescent="0.2">
      <c r="A96" s="19" t="s">
        <v>41</v>
      </c>
      <c r="B96" s="18" t="s">
        <v>57</v>
      </c>
      <c r="C96" s="19" t="s">
        <v>48</v>
      </c>
      <c r="D96" s="19" t="s">
        <v>12</v>
      </c>
      <c r="E96" s="19" t="s">
        <v>23</v>
      </c>
      <c r="F96" s="19">
        <v>50</v>
      </c>
      <c r="G96" s="19">
        <v>0</v>
      </c>
      <c r="H96" s="19">
        <v>6</v>
      </c>
      <c r="I96" s="19">
        <v>26</v>
      </c>
      <c r="J96" s="19">
        <v>26</v>
      </c>
      <c r="K96" s="20">
        <v>1</v>
      </c>
    </row>
    <row r="97" spans="1:11" x14ac:dyDescent="0.2">
      <c r="A97" s="19" t="s">
        <v>41</v>
      </c>
      <c r="B97" s="18" t="s">
        <v>57</v>
      </c>
      <c r="C97" s="19" t="s">
        <v>48</v>
      </c>
      <c r="D97" s="19" t="s">
        <v>12</v>
      </c>
      <c r="E97" s="19" t="s">
        <v>23</v>
      </c>
      <c r="F97" s="19">
        <v>75</v>
      </c>
      <c r="G97" s="19">
        <v>0</v>
      </c>
      <c r="H97" s="19">
        <v>6</v>
      </c>
      <c r="I97" s="19">
        <v>44</v>
      </c>
      <c r="J97" s="19">
        <v>44</v>
      </c>
      <c r="K97" s="20">
        <v>1</v>
      </c>
    </row>
    <row r="98" spans="1:11" x14ac:dyDescent="0.2">
      <c r="A98" s="19" t="s">
        <v>41</v>
      </c>
      <c r="B98" s="18" t="s">
        <v>57</v>
      </c>
      <c r="C98" s="19" t="s">
        <v>49</v>
      </c>
      <c r="D98" s="19" t="s">
        <v>12</v>
      </c>
      <c r="E98" s="19" t="s">
        <v>23</v>
      </c>
      <c r="F98" s="19">
        <v>50</v>
      </c>
      <c r="G98" s="19">
        <v>0</v>
      </c>
      <c r="H98" s="19">
        <v>6</v>
      </c>
      <c r="I98" s="19">
        <v>50</v>
      </c>
      <c r="J98" s="19">
        <v>2</v>
      </c>
      <c r="K98" s="20">
        <v>0.04</v>
      </c>
    </row>
    <row r="99" spans="1:11" x14ac:dyDescent="0.2">
      <c r="A99" s="19" t="s">
        <v>41</v>
      </c>
      <c r="B99" s="18" t="s">
        <v>57</v>
      </c>
      <c r="C99" s="19" t="s">
        <v>49</v>
      </c>
      <c r="D99" s="19" t="s">
        <v>12</v>
      </c>
      <c r="E99" s="19" t="s">
        <v>23</v>
      </c>
      <c r="F99" s="19">
        <v>75</v>
      </c>
      <c r="G99" s="19">
        <v>0</v>
      </c>
      <c r="H99" s="19">
        <v>6</v>
      </c>
      <c r="I99" s="19">
        <v>43</v>
      </c>
      <c r="J99" s="19">
        <v>30</v>
      </c>
      <c r="K99" s="20">
        <v>0.7</v>
      </c>
    </row>
    <row r="100" spans="1:11" x14ac:dyDescent="0.2">
      <c r="A100" s="19" t="s">
        <v>41</v>
      </c>
      <c r="B100" s="18" t="s">
        <v>57</v>
      </c>
      <c r="C100" s="19" t="s">
        <v>50</v>
      </c>
      <c r="D100" s="19" t="s">
        <v>12</v>
      </c>
      <c r="E100" s="19" t="s">
        <v>23</v>
      </c>
      <c r="F100" s="19">
        <v>50</v>
      </c>
      <c r="G100" s="19">
        <v>0</v>
      </c>
      <c r="H100" s="19">
        <v>6</v>
      </c>
      <c r="I100" s="19">
        <v>21</v>
      </c>
      <c r="J100" s="19">
        <v>13</v>
      </c>
      <c r="K100" s="20">
        <v>0.62</v>
      </c>
    </row>
    <row r="101" spans="1:11" x14ac:dyDescent="0.2">
      <c r="A101" s="19" t="s">
        <v>41</v>
      </c>
      <c r="B101" s="18" t="s">
        <v>57</v>
      </c>
      <c r="C101" s="19" t="s">
        <v>50</v>
      </c>
      <c r="D101" s="19" t="s">
        <v>12</v>
      </c>
      <c r="E101" s="19" t="s">
        <v>23</v>
      </c>
      <c r="F101" s="19">
        <v>75</v>
      </c>
      <c r="G101" s="19">
        <v>0</v>
      </c>
      <c r="H101" s="19">
        <v>6</v>
      </c>
      <c r="I101" s="19">
        <v>33</v>
      </c>
      <c r="J101" s="19">
        <v>33</v>
      </c>
      <c r="K101" s="20">
        <v>1</v>
      </c>
    </row>
    <row r="102" spans="1:11" x14ac:dyDescent="0.2">
      <c r="A102" s="19" t="s">
        <v>41</v>
      </c>
      <c r="B102" s="18" t="s">
        <v>57</v>
      </c>
      <c r="C102" s="19" t="s">
        <v>51</v>
      </c>
      <c r="D102" s="19" t="s">
        <v>12</v>
      </c>
      <c r="E102" s="19" t="s">
        <v>23</v>
      </c>
      <c r="F102" s="19">
        <v>50</v>
      </c>
      <c r="G102" s="19">
        <v>0</v>
      </c>
      <c r="H102" s="19">
        <v>6</v>
      </c>
      <c r="I102" s="19">
        <v>43</v>
      </c>
      <c r="J102" s="19">
        <v>0</v>
      </c>
      <c r="K102" s="20">
        <v>0</v>
      </c>
    </row>
    <row r="103" spans="1:11" x14ac:dyDescent="0.2">
      <c r="A103" s="19" t="s">
        <v>41</v>
      </c>
      <c r="B103" s="18" t="s">
        <v>57</v>
      </c>
      <c r="C103" s="19" t="s">
        <v>51</v>
      </c>
      <c r="D103" s="19" t="s">
        <v>12</v>
      </c>
      <c r="E103" s="19" t="s">
        <v>23</v>
      </c>
      <c r="F103" s="19">
        <v>75</v>
      </c>
      <c r="G103" s="19">
        <v>0</v>
      </c>
      <c r="H103" s="19">
        <v>6</v>
      </c>
      <c r="I103" s="19">
        <v>39</v>
      </c>
      <c r="J103" s="19">
        <v>0</v>
      </c>
      <c r="K103" s="20">
        <v>0</v>
      </c>
    </row>
    <row r="104" spans="1:11" x14ac:dyDescent="0.2">
      <c r="A104" s="19" t="s">
        <v>41</v>
      </c>
      <c r="B104" s="18" t="s">
        <v>57</v>
      </c>
      <c r="C104" s="19" t="s">
        <v>52</v>
      </c>
      <c r="D104" s="19" t="s">
        <v>12</v>
      </c>
      <c r="E104" s="19" t="s">
        <v>23</v>
      </c>
      <c r="F104" s="19">
        <v>50</v>
      </c>
      <c r="G104" s="19">
        <v>0</v>
      </c>
      <c r="H104" s="19">
        <v>6</v>
      </c>
      <c r="I104" s="19">
        <v>52</v>
      </c>
      <c r="J104" s="19">
        <v>52</v>
      </c>
      <c r="K104" s="20">
        <v>1</v>
      </c>
    </row>
    <row r="105" spans="1:11" x14ac:dyDescent="0.2">
      <c r="A105" s="19" t="s">
        <v>41</v>
      </c>
      <c r="B105" s="18" t="s">
        <v>57</v>
      </c>
      <c r="C105" s="19" t="s">
        <v>52</v>
      </c>
      <c r="D105" s="19" t="s">
        <v>12</v>
      </c>
      <c r="E105" s="19" t="s">
        <v>23</v>
      </c>
      <c r="F105" s="19">
        <v>75</v>
      </c>
      <c r="G105" s="19">
        <v>0</v>
      </c>
      <c r="H105" s="19">
        <v>6</v>
      </c>
      <c r="I105" s="19">
        <v>37</v>
      </c>
      <c r="J105" s="19">
        <v>37</v>
      </c>
      <c r="K105" s="20">
        <v>1</v>
      </c>
    </row>
    <row r="106" spans="1:11" x14ac:dyDescent="0.2">
      <c r="A106" s="19" t="s">
        <v>41</v>
      </c>
      <c r="B106" s="18" t="s">
        <v>57</v>
      </c>
      <c r="C106" s="23">
        <v>796</v>
      </c>
      <c r="D106" s="19" t="s">
        <v>12</v>
      </c>
      <c r="E106" s="19" t="s">
        <v>23</v>
      </c>
      <c r="F106" s="19">
        <v>50</v>
      </c>
      <c r="G106" s="19">
        <v>400</v>
      </c>
      <c r="H106" s="19">
        <v>6</v>
      </c>
      <c r="I106" s="19">
        <v>20</v>
      </c>
      <c r="J106" s="19">
        <v>20</v>
      </c>
      <c r="K106" s="20">
        <v>1</v>
      </c>
    </row>
    <row r="107" spans="1:11" x14ac:dyDescent="0.2">
      <c r="A107" s="19" t="s">
        <v>41</v>
      </c>
      <c r="B107" s="18" t="s">
        <v>57</v>
      </c>
      <c r="C107" s="23">
        <v>796</v>
      </c>
      <c r="D107" s="19" t="s">
        <v>43</v>
      </c>
      <c r="E107" s="19" t="s">
        <v>23</v>
      </c>
      <c r="F107" s="19">
        <v>50</v>
      </c>
      <c r="G107" s="19">
        <v>400</v>
      </c>
      <c r="H107" s="19">
        <v>6</v>
      </c>
      <c r="I107" s="19">
        <v>43</v>
      </c>
      <c r="J107" s="19">
        <v>43</v>
      </c>
      <c r="K107" s="20">
        <v>1</v>
      </c>
    </row>
    <row r="108" spans="1:11" x14ac:dyDescent="0.2">
      <c r="A108" s="19" t="s">
        <v>41</v>
      </c>
      <c r="B108" s="18" t="s">
        <v>57</v>
      </c>
      <c r="C108" s="23">
        <v>796</v>
      </c>
      <c r="D108" s="19" t="s">
        <v>44</v>
      </c>
      <c r="E108" s="19" t="s">
        <v>23</v>
      </c>
      <c r="F108" s="19">
        <v>50</v>
      </c>
      <c r="G108" s="19">
        <v>400</v>
      </c>
      <c r="H108" s="19">
        <v>6</v>
      </c>
      <c r="I108" s="19">
        <v>25</v>
      </c>
      <c r="J108" s="19">
        <v>25</v>
      </c>
      <c r="K108" s="20">
        <v>1</v>
      </c>
    </row>
    <row r="109" spans="1:11" x14ac:dyDescent="0.2">
      <c r="A109" s="19" t="s">
        <v>41</v>
      </c>
      <c r="B109" s="18" t="s">
        <v>57</v>
      </c>
      <c r="C109" s="23">
        <v>796</v>
      </c>
      <c r="D109" s="19" t="s">
        <v>12</v>
      </c>
      <c r="E109" s="19" t="s">
        <v>23</v>
      </c>
      <c r="F109" s="19">
        <v>75</v>
      </c>
      <c r="G109" s="19">
        <v>400</v>
      </c>
      <c r="H109" s="19">
        <v>6</v>
      </c>
      <c r="I109" s="19">
        <v>22</v>
      </c>
      <c r="J109" s="19">
        <v>20</v>
      </c>
      <c r="K109" s="20">
        <v>0.91</v>
      </c>
    </row>
    <row r="110" spans="1:11" x14ac:dyDescent="0.2">
      <c r="A110" s="19" t="s">
        <v>41</v>
      </c>
      <c r="B110" s="18" t="s">
        <v>57</v>
      </c>
      <c r="C110" s="23">
        <v>796</v>
      </c>
      <c r="D110" s="19" t="s">
        <v>43</v>
      </c>
      <c r="E110" s="19" t="s">
        <v>23</v>
      </c>
      <c r="F110" s="19">
        <v>75</v>
      </c>
      <c r="G110" s="19">
        <v>400</v>
      </c>
      <c r="H110" s="19">
        <v>6</v>
      </c>
      <c r="I110" s="19">
        <v>45</v>
      </c>
      <c r="J110" s="19">
        <v>21</v>
      </c>
      <c r="K110" s="20">
        <v>0.47</v>
      </c>
    </row>
    <row r="111" spans="1:11" x14ac:dyDescent="0.2">
      <c r="A111" s="19" t="s">
        <v>41</v>
      </c>
      <c r="B111" s="18" t="s">
        <v>57</v>
      </c>
      <c r="C111" s="23">
        <v>796</v>
      </c>
      <c r="D111" s="19" t="s">
        <v>44</v>
      </c>
      <c r="E111" s="19" t="s">
        <v>23</v>
      </c>
      <c r="F111" s="19">
        <v>75</v>
      </c>
      <c r="G111" s="19">
        <v>400</v>
      </c>
      <c r="H111" s="19">
        <v>6</v>
      </c>
      <c r="I111" s="19">
        <v>25</v>
      </c>
      <c r="J111" s="19">
        <v>18</v>
      </c>
      <c r="K111" s="20">
        <v>0.72</v>
      </c>
    </row>
    <row r="112" spans="1:11" x14ac:dyDescent="0.2">
      <c r="A112" s="19" t="s">
        <v>41</v>
      </c>
      <c r="B112" s="18" t="s">
        <v>57</v>
      </c>
      <c r="C112" s="19" t="s">
        <v>46</v>
      </c>
      <c r="D112" s="19" t="s">
        <v>12</v>
      </c>
      <c r="E112" s="19" t="s">
        <v>23</v>
      </c>
      <c r="F112" s="19">
        <v>50</v>
      </c>
      <c r="G112" s="19">
        <v>400</v>
      </c>
      <c r="H112" s="19">
        <v>6</v>
      </c>
      <c r="I112" s="19">
        <v>50</v>
      </c>
      <c r="J112" s="19">
        <v>11</v>
      </c>
      <c r="K112" s="20">
        <v>0.22</v>
      </c>
    </row>
    <row r="113" spans="1:11" x14ac:dyDescent="0.2">
      <c r="A113" s="19" t="s">
        <v>41</v>
      </c>
      <c r="B113" s="18" t="s">
        <v>57</v>
      </c>
      <c r="C113" s="19" t="s">
        <v>46</v>
      </c>
      <c r="D113" s="19" t="s">
        <v>12</v>
      </c>
      <c r="E113" s="19" t="s">
        <v>23</v>
      </c>
      <c r="F113" s="19">
        <v>75</v>
      </c>
      <c r="G113" s="19">
        <v>400</v>
      </c>
      <c r="H113" s="19">
        <v>6</v>
      </c>
      <c r="I113" s="19">
        <v>52</v>
      </c>
      <c r="J113" s="19">
        <v>0</v>
      </c>
      <c r="K113" s="20">
        <v>0</v>
      </c>
    </row>
    <row r="114" spans="1:11" x14ac:dyDescent="0.2">
      <c r="A114" s="19" t="s">
        <v>41</v>
      </c>
      <c r="B114" s="18" t="s">
        <v>57</v>
      </c>
      <c r="C114" s="19" t="s">
        <v>47</v>
      </c>
      <c r="D114" s="19" t="s">
        <v>12</v>
      </c>
      <c r="E114" s="19" t="s">
        <v>23</v>
      </c>
      <c r="F114" s="19">
        <v>50</v>
      </c>
      <c r="G114" s="19">
        <v>400</v>
      </c>
      <c r="H114" s="19">
        <v>6</v>
      </c>
      <c r="I114" s="19">
        <v>36</v>
      </c>
      <c r="J114" s="19">
        <v>30</v>
      </c>
      <c r="K114" s="20">
        <v>0.83</v>
      </c>
    </row>
    <row r="115" spans="1:11" x14ac:dyDescent="0.2">
      <c r="A115" s="19" t="s">
        <v>41</v>
      </c>
      <c r="B115" s="18" t="s">
        <v>57</v>
      </c>
      <c r="C115" s="19" t="s">
        <v>47</v>
      </c>
      <c r="D115" s="19" t="s">
        <v>12</v>
      </c>
      <c r="E115" s="19" t="s">
        <v>23</v>
      </c>
      <c r="F115" s="19">
        <v>75</v>
      </c>
      <c r="G115" s="19">
        <v>400</v>
      </c>
      <c r="H115" s="19">
        <v>6</v>
      </c>
      <c r="I115" s="19">
        <v>37</v>
      </c>
      <c r="J115" s="19">
        <v>2</v>
      </c>
      <c r="K115" s="20">
        <v>0.05</v>
      </c>
    </row>
    <row r="116" spans="1:11" x14ac:dyDescent="0.2">
      <c r="A116" s="19" t="s">
        <v>41</v>
      </c>
      <c r="B116" s="18" t="s">
        <v>57</v>
      </c>
      <c r="C116" s="19" t="s">
        <v>48</v>
      </c>
      <c r="D116" s="19" t="s">
        <v>12</v>
      </c>
      <c r="E116" s="19" t="s">
        <v>23</v>
      </c>
      <c r="F116" s="19">
        <v>50</v>
      </c>
      <c r="G116" s="19">
        <v>400</v>
      </c>
      <c r="H116" s="19">
        <v>6</v>
      </c>
      <c r="I116" s="19">
        <v>38</v>
      </c>
      <c r="J116" s="19">
        <v>37</v>
      </c>
      <c r="K116" s="20">
        <v>0.97</v>
      </c>
    </row>
    <row r="117" spans="1:11" x14ac:dyDescent="0.2">
      <c r="A117" s="19" t="s">
        <v>41</v>
      </c>
      <c r="B117" s="18" t="s">
        <v>57</v>
      </c>
      <c r="C117" s="19" t="s">
        <v>48</v>
      </c>
      <c r="D117" s="19" t="s">
        <v>12</v>
      </c>
      <c r="E117" s="19" t="s">
        <v>23</v>
      </c>
      <c r="F117" s="19">
        <v>75</v>
      </c>
      <c r="G117" s="19">
        <v>400</v>
      </c>
      <c r="H117" s="19">
        <v>6</v>
      </c>
      <c r="I117" s="19">
        <v>36</v>
      </c>
      <c r="J117" s="19">
        <v>36</v>
      </c>
      <c r="K117" s="20">
        <v>1</v>
      </c>
    </row>
    <row r="118" spans="1:11" x14ac:dyDescent="0.2">
      <c r="A118" s="19" t="s">
        <v>41</v>
      </c>
      <c r="B118" s="18" t="s">
        <v>57</v>
      </c>
      <c r="C118" s="19" t="s">
        <v>49</v>
      </c>
      <c r="D118" s="19" t="s">
        <v>12</v>
      </c>
      <c r="E118" s="19" t="s">
        <v>23</v>
      </c>
      <c r="F118" s="19">
        <v>50</v>
      </c>
      <c r="G118" s="19">
        <v>400</v>
      </c>
      <c r="H118" s="19">
        <v>6</v>
      </c>
      <c r="I118" s="19">
        <v>24</v>
      </c>
      <c r="J118" s="19">
        <v>22</v>
      </c>
      <c r="K118" s="20">
        <v>0.92</v>
      </c>
    </row>
    <row r="119" spans="1:11" x14ac:dyDescent="0.2">
      <c r="A119" s="19" t="s">
        <v>41</v>
      </c>
      <c r="B119" s="18" t="s">
        <v>57</v>
      </c>
      <c r="C119" s="19" t="s">
        <v>49</v>
      </c>
      <c r="D119" s="19" t="s">
        <v>12</v>
      </c>
      <c r="E119" s="19" t="s">
        <v>23</v>
      </c>
      <c r="F119" s="19">
        <v>75</v>
      </c>
      <c r="G119" s="19">
        <v>400</v>
      </c>
      <c r="H119" s="19">
        <v>6</v>
      </c>
      <c r="I119" s="19">
        <v>45</v>
      </c>
      <c r="J119" s="19">
        <v>30</v>
      </c>
      <c r="K119" s="20">
        <v>0.67</v>
      </c>
    </row>
    <row r="120" spans="1:11" x14ac:dyDescent="0.2">
      <c r="A120" s="19" t="s">
        <v>41</v>
      </c>
      <c r="B120" s="18" t="s">
        <v>57</v>
      </c>
      <c r="C120" s="19" t="s">
        <v>50</v>
      </c>
      <c r="D120" s="19" t="s">
        <v>12</v>
      </c>
      <c r="E120" s="19" t="s">
        <v>23</v>
      </c>
      <c r="F120" s="19">
        <v>50</v>
      </c>
      <c r="G120" s="19">
        <v>400</v>
      </c>
      <c r="H120" s="19">
        <v>6</v>
      </c>
      <c r="I120" s="19">
        <v>50</v>
      </c>
      <c r="J120" s="19">
        <v>50</v>
      </c>
      <c r="K120" s="20">
        <v>1</v>
      </c>
    </row>
    <row r="121" spans="1:11" x14ac:dyDescent="0.2">
      <c r="A121" s="19" t="s">
        <v>41</v>
      </c>
      <c r="B121" s="18" t="s">
        <v>57</v>
      </c>
      <c r="C121" s="19" t="s">
        <v>50</v>
      </c>
      <c r="D121" s="19" t="s">
        <v>12</v>
      </c>
      <c r="E121" s="19" t="s">
        <v>23</v>
      </c>
      <c r="F121" s="19">
        <v>75</v>
      </c>
      <c r="G121" s="19">
        <v>400</v>
      </c>
      <c r="H121" s="19">
        <v>6</v>
      </c>
      <c r="I121" s="19">
        <v>33</v>
      </c>
      <c r="J121" s="19">
        <v>33</v>
      </c>
      <c r="K121" s="20">
        <v>1</v>
      </c>
    </row>
    <row r="122" spans="1:11" x14ac:dyDescent="0.2">
      <c r="A122" s="19" t="s">
        <v>41</v>
      </c>
      <c r="B122" s="18" t="s">
        <v>57</v>
      </c>
      <c r="C122" s="19" t="s">
        <v>51</v>
      </c>
      <c r="D122" s="19" t="s">
        <v>12</v>
      </c>
      <c r="E122" s="19" t="s">
        <v>23</v>
      </c>
      <c r="F122" s="19">
        <v>50</v>
      </c>
      <c r="G122" s="19">
        <v>400</v>
      </c>
      <c r="H122" s="19">
        <v>6</v>
      </c>
      <c r="I122" s="19">
        <v>39</v>
      </c>
      <c r="J122" s="19">
        <v>2</v>
      </c>
      <c r="K122" s="20">
        <v>0.05</v>
      </c>
    </row>
    <row r="123" spans="1:11" x14ac:dyDescent="0.2">
      <c r="A123" s="19" t="s">
        <v>41</v>
      </c>
      <c r="B123" s="18" t="s">
        <v>57</v>
      </c>
      <c r="C123" s="19" t="s">
        <v>51</v>
      </c>
      <c r="D123" s="19" t="s">
        <v>12</v>
      </c>
      <c r="E123" s="19" t="s">
        <v>23</v>
      </c>
      <c r="F123" s="19">
        <v>75</v>
      </c>
      <c r="G123" s="19">
        <v>400</v>
      </c>
      <c r="H123" s="19">
        <v>6</v>
      </c>
      <c r="I123" s="19">
        <v>34</v>
      </c>
      <c r="J123" s="19">
        <v>0</v>
      </c>
      <c r="K123" s="20">
        <v>0</v>
      </c>
    </row>
    <row r="124" spans="1:11" x14ac:dyDescent="0.2">
      <c r="A124" s="19" t="s">
        <v>41</v>
      </c>
      <c r="B124" s="18" t="s">
        <v>57</v>
      </c>
      <c r="C124" s="19" t="s">
        <v>52</v>
      </c>
      <c r="D124" s="19" t="s">
        <v>12</v>
      </c>
      <c r="E124" s="19" t="s">
        <v>23</v>
      </c>
      <c r="F124" s="19">
        <v>50</v>
      </c>
      <c r="G124" s="19">
        <v>400</v>
      </c>
      <c r="H124" s="19">
        <v>6</v>
      </c>
      <c r="I124" s="19">
        <v>53</v>
      </c>
      <c r="J124" s="19">
        <v>53</v>
      </c>
      <c r="K124" s="20">
        <v>1</v>
      </c>
    </row>
    <row r="125" spans="1:11" x14ac:dyDescent="0.2">
      <c r="A125" s="19" t="s">
        <v>41</v>
      </c>
      <c r="B125" s="18" t="s">
        <v>57</v>
      </c>
      <c r="C125" s="19" t="s">
        <v>52</v>
      </c>
      <c r="D125" s="19" t="s">
        <v>12</v>
      </c>
      <c r="E125" s="19" t="s">
        <v>23</v>
      </c>
      <c r="F125" s="19">
        <v>75</v>
      </c>
      <c r="G125" s="19">
        <v>400</v>
      </c>
      <c r="H125" s="19">
        <v>6</v>
      </c>
      <c r="I125" s="19">
        <v>43</v>
      </c>
      <c r="J125" s="19">
        <v>43</v>
      </c>
      <c r="K125" s="20">
        <v>1</v>
      </c>
    </row>
    <row r="126" spans="1:11" x14ac:dyDescent="0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</row>
    <row r="127" spans="1:11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spans="1:11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</row>
    <row r="129" spans="1:11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 spans="1:11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</row>
    <row r="131" spans="1:11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 spans="1:11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</row>
    <row r="133" spans="1:11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</sheetData>
  <sortState xmlns:xlrd2="http://schemas.microsoft.com/office/spreadsheetml/2017/richdata2" ref="A86:K133">
    <sortCondition ref="G86:G133"/>
    <sortCondition ref="C86:C133"/>
    <sortCondition ref="F86:F133"/>
  </sortState>
  <phoneticPr fontId="9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C417-41BC-8246-A64A-B2B6045E4E46}">
  <dimension ref="A1:L96"/>
  <sheetViews>
    <sheetView workbookViewId="0">
      <selection activeCell="K52" sqref="K52:K73"/>
    </sheetView>
  </sheetViews>
  <sheetFormatPr baseColWidth="10" defaultColWidth="11" defaultRowHeight="16" x14ac:dyDescent="0.2"/>
  <cols>
    <col min="3" max="3" width="24.6640625" customWidth="1"/>
  </cols>
  <sheetData>
    <row r="1" spans="1:12" ht="119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/>
    </row>
    <row r="3" spans="1:12" x14ac:dyDescent="0.2">
      <c r="A3" s="2">
        <v>43805</v>
      </c>
      <c r="B3" s="2">
        <v>43809</v>
      </c>
      <c r="C3" s="9">
        <v>796</v>
      </c>
      <c r="D3" t="s">
        <v>43</v>
      </c>
      <c r="E3" t="s">
        <v>23</v>
      </c>
      <c r="F3">
        <v>50</v>
      </c>
      <c r="G3">
        <v>0</v>
      </c>
      <c r="H3">
        <v>4</v>
      </c>
      <c r="I3">
        <v>40</v>
      </c>
      <c r="J3">
        <v>40</v>
      </c>
      <c r="K3" s="3">
        <f>J3/I3</f>
        <v>1</v>
      </c>
      <c r="L3" s="5"/>
    </row>
    <row r="4" spans="1:12" x14ac:dyDescent="0.2">
      <c r="A4" s="2">
        <v>43805</v>
      </c>
      <c r="B4" s="2">
        <v>43809</v>
      </c>
      <c r="C4" s="9">
        <v>796</v>
      </c>
      <c r="D4" t="s">
        <v>43</v>
      </c>
      <c r="E4" t="s">
        <v>23</v>
      </c>
      <c r="F4">
        <v>50</v>
      </c>
      <c r="G4">
        <v>400</v>
      </c>
      <c r="H4">
        <v>4</v>
      </c>
      <c r="I4">
        <v>43</v>
      </c>
      <c r="J4">
        <v>43</v>
      </c>
      <c r="K4" s="3">
        <f t="shared" ref="K4:K6" si="0">J4/I4</f>
        <v>1</v>
      </c>
      <c r="L4" s="6">
        <f>K4-K3</f>
        <v>0</v>
      </c>
    </row>
    <row r="5" spans="1:12" x14ac:dyDescent="0.2">
      <c r="A5" s="2">
        <v>43805</v>
      </c>
      <c r="B5" s="2">
        <v>43809</v>
      </c>
      <c r="C5" s="9">
        <v>796</v>
      </c>
      <c r="D5" t="s">
        <v>43</v>
      </c>
      <c r="E5" t="s">
        <v>23</v>
      </c>
      <c r="F5">
        <v>75</v>
      </c>
      <c r="G5">
        <v>0</v>
      </c>
      <c r="H5">
        <v>4</v>
      </c>
      <c r="I5">
        <v>47</v>
      </c>
      <c r="J5">
        <v>47</v>
      </c>
      <c r="K5" s="3">
        <f t="shared" si="0"/>
        <v>1</v>
      </c>
      <c r="L5" s="5"/>
    </row>
    <row r="6" spans="1:12" x14ac:dyDescent="0.2">
      <c r="A6" s="2">
        <v>43805</v>
      </c>
      <c r="B6" s="2">
        <v>43809</v>
      </c>
      <c r="C6" s="9">
        <v>796</v>
      </c>
      <c r="D6" t="s">
        <v>43</v>
      </c>
      <c r="E6" t="s">
        <v>23</v>
      </c>
      <c r="F6">
        <v>75</v>
      </c>
      <c r="G6">
        <v>400</v>
      </c>
      <c r="H6">
        <v>4</v>
      </c>
      <c r="I6">
        <v>49</v>
      </c>
      <c r="J6">
        <v>49</v>
      </c>
      <c r="K6" s="3">
        <f t="shared" si="0"/>
        <v>1</v>
      </c>
      <c r="L6" s="6">
        <f>K6-K5</f>
        <v>0</v>
      </c>
    </row>
    <row r="7" spans="1:12" x14ac:dyDescent="0.2">
      <c r="A7" s="2">
        <v>43805</v>
      </c>
      <c r="B7" s="2">
        <v>43809</v>
      </c>
      <c r="C7" t="s">
        <v>87</v>
      </c>
      <c r="D7" t="s">
        <v>43</v>
      </c>
      <c r="E7" t="s">
        <v>23</v>
      </c>
      <c r="F7">
        <v>50</v>
      </c>
      <c r="G7">
        <v>0</v>
      </c>
      <c r="H7">
        <v>4</v>
      </c>
      <c r="I7">
        <v>37</v>
      </c>
      <c r="J7">
        <v>37</v>
      </c>
      <c r="K7" s="3">
        <f>J7/I7</f>
        <v>1</v>
      </c>
      <c r="L7" s="5"/>
    </row>
    <row r="8" spans="1:12" x14ac:dyDescent="0.2">
      <c r="A8" s="2">
        <v>43805</v>
      </c>
      <c r="B8" s="2">
        <v>43809</v>
      </c>
      <c r="C8" t="s">
        <v>87</v>
      </c>
      <c r="D8" t="s">
        <v>43</v>
      </c>
      <c r="E8" t="s">
        <v>23</v>
      </c>
      <c r="F8">
        <v>50</v>
      </c>
      <c r="G8">
        <v>400</v>
      </c>
      <c r="H8">
        <v>4</v>
      </c>
      <c r="I8">
        <v>48</v>
      </c>
      <c r="J8">
        <v>48</v>
      </c>
      <c r="K8" s="3">
        <f t="shared" ref="K8:K10" si="1">J8/I8</f>
        <v>1</v>
      </c>
      <c r="L8" s="6">
        <f>K8-K7</f>
        <v>0</v>
      </c>
    </row>
    <row r="9" spans="1:12" x14ac:dyDescent="0.2">
      <c r="A9" s="2">
        <v>43805</v>
      </c>
      <c r="B9" s="2">
        <v>43809</v>
      </c>
      <c r="C9" t="s">
        <v>87</v>
      </c>
      <c r="D9" t="s">
        <v>43</v>
      </c>
      <c r="E9" t="s">
        <v>23</v>
      </c>
      <c r="F9">
        <v>75</v>
      </c>
      <c r="G9">
        <v>0</v>
      </c>
      <c r="H9">
        <v>4</v>
      </c>
      <c r="I9">
        <v>40</v>
      </c>
      <c r="J9">
        <v>40</v>
      </c>
      <c r="K9" s="3">
        <f t="shared" si="1"/>
        <v>1</v>
      </c>
      <c r="L9" s="5"/>
    </row>
    <row r="10" spans="1:12" x14ac:dyDescent="0.2">
      <c r="A10" s="2">
        <v>43805</v>
      </c>
      <c r="B10" s="2">
        <v>43809</v>
      </c>
      <c r="C10" t="s">
        <v>87</v>
      </c>
      <c r="D10" t="s">
        <v>43</v>
      </c>
      <c r="E10" t="s">
        <v>23</v>
      </c>
      <c r="F10">
        <v>75</v>
      </c>
      <c r="G10">
        <v>400</v>
      </c>
      <c r="H10">
        <v>4</v>
      </c>
      <c r="I10">
        <v>36</v>
      </c>
      <c r="J10">
        <v>36</v>
      </c>
      <c r="K10" s="3">
        <f t="shared" si="1"/>
        <v>1</v>
      </c>
      <c r="L10" s="6">
        <f>K10-K9</f>
        <v>0</v>
      </c>
    </row>
    <row r="11" spans="1:12" x14ac:dyDescent="0.2">
      <c r="A11" s="2">
        <v>43805</v>
      </c>
      <c r="B11" s="2">
        <v>43809</v>
      </c>
      <c r="C11" t="s">
        <v>88</v>
      </c>
      <c r="D11" t="s">
        <v>43</v>
      </c>
      <c r="E11" t="s">
        <v>23</v>
      </c>
      <c r="F11">
        <v>50</v>
      </c>
      <c r="G11">
        <v>0</v>
      </c>
      <c r="H11">
        <v>4</v>
      </c>
      <c r="I11">
        <v>44</v>
      </c>
      <c r="J11">
        <v>30</v>
      </c>
      <c r="K11" s="3">
        <f>J11/I11</f>
        <v>0.68181818181818177</v>
      </c>
      <c r="L11" s="5"/>
    </row>
    <row r="12" spans="1:12" x14ac:dyDescent="0.2">
      <c r="A12" s="2">
        <v>43805</v>
      </c>
      <c r="B12" s="2">
        <v>43809</v>
      </c>
      <c r="C12" t="s">
        <v>88</v>
      </c>
      <c r="D12" t="s">
        <v>43</v>
      </c>
      <c r="E12" t="s">
        <v>23</v>
      </c>
      <c r="F12">
        <v>50</v>
      </c>
      <c r="G12">
        <v>400</v>
      </c>
      <c r="H12">
        <v>4</v>
      </c>
      <c r="I12">
        <v>34</v>
      </c>
      <c r="J12">
        <v>30</v>
      </c>
      <c r="K12" s="3">
        <f t="shared" ref="K12:K14" si="2">J12/I12</f>
        <v>0.88235294117647056</v>
      </c>
      <c r="L12" s="6">
        <f>K12-K11</f>
        <v>0.20053475935828879</v>
      </c>
    </row>
    <row r="13" spans="1:12" x14ac:dyDescent="0.2">
      <c r="A13" s="2">
        <v>43805</v>
      </c>
      <c r="B13" s="2">
        <v>43809</v>
      </c>
      <c r="C13" t="s">
        <v>88</v>
      </c>
      <c r="D13" t="s">
        <v>43</v>
      </c>
      <c r="E13" t="s">
        <v>23</v>
      </c>
      <c r="F13">
        <v>75</v>
      </c>
      <c r="G13">
        <v>0</v>
      </c>
      <c r="H13">
        <v>4</v>
      </c>
      <c r="I13">
        <v>40</v>
      </c>
      <c r="J13">
        <v>39</v>
      </c>
      <c r="K13" s="3">
        <f t="shared" si="2"/>
        <v>0.97499999999999998</v>
      </c>
      <c r="L13" s="5"/>
    </row>
    <row r="14" spans="1:12" x14ac:dyDescent="0.2">
      <c r="A14" s="2">
        <v>43805</v>
      </c>
      <c r="B14" s="2">
        <v>43809</v>
      </c>
      <c r="C14" t="s">
        <v>88</v>
      </c>
      <c r="D14" t="s">
        <v>43</v>
      </c>
      <c r="E14" t="s">
        <v>23</v>
      </c>
      <c r="F14">
        <v>75</v>
      </c>
      <c r="G14">
        <v>400</v>
      </c>
      <c r="H14">
        <v>4</v>
      </c>
      <c r="I14">
        <v>37</v>
      </c>
      <c r="J14">
        <v>37</v>
      </c>
      <c r="K14" s="3">
        <f t="shared" si="2"/>
        <v>1</v>
      </c>
      <c r="L14" s="6">
        <f>K14-K13</f>
        <v>2.5000000000000022E-2</v>
      </c>
    </row>
    <row r="15" spans="1:12" x14ac:dyDescent="0.2">
      <c r="A15" s="2">
        <v>43805</v>
      </c>
      <c r="B15" s="2">
        <v>43809</v>
      </c>
      <c r="C15" t="s">
        <v>89</v>
      </c>
      <c r="D15" t="s">
        <v>43</v>
      </c>
      <c r="E15" t="s">
        <v>23</v>
      </c>
      <c r="F15">
        <v>50</v>
      </c>
      <c r="G15">
        <v>0</v>
      </c>
      <c r="H15">
        <v>4</v>
      </c>
      <c r="I15">
        <v>0</v>
      </c>
      <c r="J15">
        <v>0</v>
      </c>
      <c r="K15" s="3">
        <v>0</v>
      </c>
      <c r="L15" s="5"/>
    </row>
    <row r="16" spans="1:12" x14ac:dyDescent="0.2">
      <c r="A16" s="2">
        <v>43805</v>
      </c>
      <c r="B16" s="2">
        <v>43809</v>
      </c>
      <c r="C16" t="s">
        <v>89</v>
      </c>
      <c r="D16" t="s">
        <v>43</v>
      </c>
      <c r="E16" t="s">
        <v>23</v>
      </c>
      <c r="F16">
        <v>50</v>
      </c>
      <c r="G16">
        <v>400</v>
      </c>
      <c r="H16">
        <v>4</v>
      </c>
      <c r="I16">
        <v>0</v>
      </c>
      <c r="J16">
        <v>0</v>
      </c>
      <c r="K16" s="3">
        <v>0</v>
      </c>
      <c r="L16" s="6">
        <f>K16-K15</f>
        <v>0</v>
      </c>
    </row>
    <row r="17" spans="1:12" x14ac:dyDescent="0.2">
      <c r="A17" s="2">
        <v>43805</v>
      </c>
      <c r="B17" s="2">
        <v>43809</v>
      </c>
      <c r="C17" t="s">
        <v>89</v>
      </c>
      <c r="D17" t="s">
        <v>43</v>
      </c>
      <c r="E17" t="s">
        <v>23</v>
      </c>
      <c r="F17">
        <v>75</v>
      </c>
      <c r="G17">
        <v>0</v>
      </c>
      <c r="H17">
        <v>4</v>
      </c>
      <c r="I17">
        <v>0</v>
      </c>
      <c r="J17">
        <v>0</v>
      </c>
      <c r="K17" s="3">
        <v>0</v>
      </c>
      <c r="L17" s="5"/>
    </row>
    <row r="18" spans="1:12" x14ac:dyDescent="0.2">
      <c r="A18" s="2">
        <v>43805</v>
      </c>
      <c r="B18" s="2">
        <v>43809</v>
      </c>
      <c r="C18" t="s">
        <v>89</v>
      </c>
      <c r="D18" t="s">
        <v>43</v>
      </c>
      <c r="E18" t="s">
        <v>23</v>
      </c>
      <c r="F18">
        <v>75</v>
      </c>
      <c r="G18">
        <v>400</v>
      </c>
      <c r="H18">
        <v>4</v>
      </c>
      <c r="I18">
        <v>0</v>
      </c>
      <c r="J18">
        <v>0</v>
      </c>
      <c r="K18" s="3">
        <v>0</v>
      </c>
      <c r="L18" s="6">
        <f>K18-K17</f>
        <v>0</v>
      </c>
    </row>
    <row r="19" spans="1:12" x14ac:dyDescent="0.2">
      <c r="A19" s="2">
        <v>43805</v>
      </c>
      <c r="B19" s="2">
        <v>43809</v>
      </c>
      <c r="C19" t="s">
        <v>90</v>
      </c>
      <c r="D19" t="s">
        <v>43</v>
      </c>
      <c r="E19" t="s">
        <v>23</v>
      </c>
      <c r="F19">
        <v>50</v>
      </c>
      <c r="G19">
        <v>0</v>
      </c>
      <c r="H19">
        <v>4</v>
      </c>
      <c r="I19">
        <v>31</v>
      </c>
      <c r="J19">
        <v>0</v>
      </c>
      <c r="K19" s="3">
        <f>J19/I19</f>
        <v>0</v>
      </c>
      <c r="L19" s="5"/>
    </row>
    <row r="20" spans="1:12" x14ac:dyDescent="0.2">
      <c r="A20" s="2">
        <v>43805</v>
      </c>
      <c r="B20" s="2">
        <v>43809</v>
      </c>
      <c r="C20" t="s">
        <v>90</v>
      </c>
      <c r="D20" t="s">
        <v>43</v>
      </c>
      <c r="E20" t="s">
        <v>23</v>
      </c>
      <c r="F20">
        <v>50</v>
      </c>
      <c r="G20">
        <v>400</v>
      </c>
      <c r="H20">
        <v>4</v>
      </c>
      <c r="I20">
        <v>28</v>
      </c>
      <c r="J20">
        <v>0</v>
      </c>
      <c r="K20" s="3">
        <f t="shared" ref="K20:K22" si="3">J20/I20</f>
        <v>0</v>
      </c>
      <c r="L20" s="6">
        <f>K20-K19</f>
        <v>0</v>
      </c>
    </row>
    <row r="21" spans="1:12" x14ac:dyDescent="0.2">
      <c r="A21" s="2">
        <v>43805</v>
      </c>
      <c r="B21" s="2">
        <v>43809</v>
      </c>
      <c r="C21" t="s">
        <v>90</v>
      </c>
      <c r="D21" t="s">
        <v>43</v>
      </c>
      <c r="E21" t="s">
        <v>23</v>
      </c>
      <c r="F21">
        <v>75</v>
      </c>
      <c r="G21">
        <v>0</v>
      </c>
      <c r="H21">
        <v>4</v>
      </c>
      <c r="I21">
        <v>41</v>
      </c>
      <c r="J21">
        <v>0</v>
      </c>
      <c r="K21" s="3">
        <f t="shared" si="3"/>
        <v>0</v>
      </c>
      <c r="L21" s="5"/>
    </row>
    <row r="22" spans="1:12" x14ac:dyDescent="0.2">
      <c r="A22" s="2">
        <v>43805</v>
      </c>
      <c r="B22" s="2">
        <v>43809</v>
      </c>
      <c r="C22" t="s">
        <v>90</v>
      </c>
      <c r="D22" t="s">
        <v>43</v>
      </c>
      <c r="E22" t="s">
        <v>23</v>
      </c>
      <c r="F22">
        <v>75</v>
      </c>
      <c r="G22">
        <v>400</v>
      </c>
      <c r="H22">
        <v>4</v>
      </c>
      <c r="I22">
        <v>33</v>
      </c>
      <c r="J22">
        <v>0</v>
      </c>
      <c r="K22" s="3">
        <f t="shared" si="3"/>
        <v>0</v>
      </c>
      <c r="L22" s="6">
        <f>K22-K21</f>
        <v>0</v>
      </c>
    </row>
    <row r="23" spans="1:12" x14ac:dyDescent="0.2">
      <c r="A23" s="2">
        <v>43805</v>
      </c>
      <c r="B23" s="2">
        <v>43809</v>
      </c>
      <c r="C23" t="s">
        <v>91</v>
      </c>
      <c r="D23" t="s">
        <v>43</v>
      </c>
      <c r="E23" t="s">
        <v>23</v>
      </c>
      <c r="F23">
        <v>50</v>
      </c>
      <c r="G23">
        <v>0</v>
      </c>
      <c r="H23">
        <v>4</v>
      </c>
      <c r="I23">
        <v>43</v>
      </c>
      <c r="J23">
        <v>22</v>
      </c>
      <c r="K23" s="3">
        <f>J23/I23</f>
        <v>0.51162790697674421</v>
      </c>
      <c r="L23" s="5"/>
    </row>
    <row r="24" spans="1:12" x14ac:dyDescent="0.2">
      <c r="A24" s="2">
        <v>43805</v>
      </c>
      <c r="B24" s="2">
        <v>43809</v>
      </c>
      <c r="C24" t="s">
        <v>91</v>
      </c>
      <c r="D24" t="s">
        <v>43</v>
      </c>
      <c r="E24" t="s">
        <v>23</v>
      </c>
      <c r="F24">
        <v>50</v>
      </c>
      <c r="G24">
        <v>400</v>
      </c>
      <c r="H24">
        <v>4</v>
      </c>
      <c r="I24">
        <v>47</v>
      </c>
      <c r="J24">
        <v>7</v>
      </c>
      <c r="K24" s="3">
        <f t="shared" ref="K24:K26" si="4">J24/I24</f>
        <v>0.14893617021276595</v>
      </c>
      <c r="L24" s="6">
        <f>K24-K23</f>
        <v>-0.36269173676397826</v>
      </c>
    </row>
    <row r="25" spans="1:12" x14ac:dyDescent="0.2">
      <c r="A25" s="2">
        <v>43805</v>
      </c>
      <c r="B25" s="2">
        <v>43809</v>
      </c>
      <c r="C25" t="s">
        <v>91</v>
      </c>
      <c r="D25" t="s">
        <v>43</v>
      </c>
      <c r="E25" t="s">
        <v>23</v>
      </c>
      <c r="F25">
        <v>75</v>
      </c>
      <c r="G25">
        <v>0</v>
      </c>
      <c r="H25">
        <v>4</v>
      </c>
      <c r="I25">
        <v>57</v>
      </c>
      <c r="J25">
        <v>15</v>
      </c>
      <c r="K25" s="3">
        <f t="shared" si="4"/>
        <v>0.26315789473684209</v>
      </c>
      <c r="L25" s="5"/>
    </row>
    <row r="26" spans="1:12" x14ac:dyDescent="0.2">
      <c r="A26" s="2">
        <v>43805</v>
      </c>
      <c r="B26" s="2">
        <v>43809</v>
      </c>
      <c r="C26" t="s">
        <v>91</v>
      </c>
      <c r="D26" t="s">
        <v>43</v>
      </c>
      <c r="E26" t="s">
        <v>23</v>
      </c>
      <c r="F26">
        <v>75</v>
      </c>
      <c r="G26">
        <v>400</v>
      </c>
      <c r="H26">
        <v>4</v>
      </c>
      <c r="I26">
        <v>44</v>
      </c>
      <c r="J26">
        <v>19</v>
      </c>
      <c r="K26" s="3">
        <f t="shared" si="4"/>
        <v>0.43181818181818182</v>
      </c>
      <c r="L26" s="6">
        <f>K26-K25</f>
        <v>0.16866028708133973</v>
      </c>
    </row>
    <row r="27" spans="1:12" x14ac:dyDescent="0.2">
      <c r="A27" s="2">
        <v>43805</v>
      </c>
      <c r="B27" s="2">
        <v>43809</v>
      </c>
      <c r="C27" t="s">
        <v>92</v>
      </c>
      <c r="D27" t="s">
        <v>43</v>
      </c>
      <c r="E27" t="s">
        <v>23</v>
      </c>
      <c r="F27">
        <v>75</v>
      </c>
      <c r="G27">
        <v>0</v>
      </c>
      <c r="H27">
        <v>4</v>
      </c>
      <c r="I27">
        <v>50</v>
      </c>
      <c r="J27">
        <v>25</v>
      </c>
      <c r="K27" s="3">
        <f>J27/I27</f>
        <v>0.5</v>
      </c>
      <c r="L27" s="5"/>
    </row>
    <row r="28" spans="1:12" x14ac:dyDescent="0.2">
      <c r="A28" s="2">
        <v>43805</v>
      </c>
      <c r="B28" s="2">
        <v>43809</v>
      </c>
      <c r="C28" t="s">
        <v>92</v>
      </c>
      <c r="D28" t="s">
        <v>43</v>
      </c>
      <c r="E28" t="s">
        <v>23</v>
      </c>
      <c r="F28">
        <v>75</v>
      </c>
      <c r="G28">
        <v>400</v>
      </c>
      <c r="H28">
        <v>4</v>
      </c>
      <c r="I28">
        <v>25</v>
      </c>
      <c r="J28">
        <v>13</v>
      </c>
      <c r="K28" s="3">
        <f t="shared" ref="K28:K30" si="5">J28/I28</f>
        <v>0.52</v>
      </c>
      <c r="L28" s="6">
        <f>K28-K27</f>
        <v>2.0000000000000018E-2</v>
      </c>
    </row>
    <row r="29" spans="1:12" x14ac:dyDescent="0.2">
      <c r="A29" s="2">
        <v>43805</v>
      </c>
      <c r="B29" s="2">
        <v>43809</v>
      </c>
      <c r="C29" t="s">
        <v>92</v>
      </c>
      <c r="D29" t="s">
        <v>43</v>
      </c>
      <c r="E29" t="s">
        <v>23</v>
      </c>
      <c r="F29">
        <v>75</v>
      </c>
      <c r="G29">
        <v>0</v>
      </c>
      <c r="H29">
        <v>4</v>
      </c>
      <c r="I29">
        <v>45</v>
      </c>
      <c r="J29">
        <v>43</v>
      </c>
      <c r="K29" s="3">
        <f t="shared" si="5"/>
        <v>0.9555555555555556</v>
      </c>
      <c r="L29" s="5"/>
    </row>
    <row r="30" spans="1:12" x14ac:dyDescent="0.2">
      <c r="A30" s="2">
        <v>43805</v>
      </c>
      <c r="B30" s="2">
        <v>43809</v>
      </c>
      <c r="C30" t="s">
        <v>92</v>
      </c>
      <c r="D30" t="s">
        <v>43</v>
      </c>
      <c r="E30" t="s">
        <v>23</v>
      </c>
      <c r="F30">
        <v>75</v>
      </c>
      <c r="G30">
        <v>400</v>
      </c>
      <c r="H30">
        <v>4</v>
      </c>
      <c r="I30">
        <v>25</v>
      </c>
      <c r="J30">
        <v>1</v>
      </c>
      <c r="K30" s="3">
        <f t="shared" si="5"/>
        <v>0.04</v>
      </c>
      <c r="L30" s="6">
        <f>K30-K29</f>
        <v>-0.91555555555555557</v>
      </c>
    </row>
    <row r="31" spans="1:12" x14ac:dyDescent="0.2">
      <c r="A31" s="2">
        <v>43805</v>
      </c>
      <c r="B31" s="2">
        <v>43809</v>
      </c>
      <c r="C31" t="s">
        <v>34</v>
      </c>
      <c r="D31" t="s">
        <v>43</v>
      </c>
      <c r="E31" t="s">
        <v>23</v>
      </c>
      <c r="F31">
        <v>50</v>
      </c>
      <c r="G31">
        <v>0</v>
      </c>
      <c r="H31">
        <v>4</v>
      </c>
      <c r="I31">
        <v>32</v>
      </c>
      <c r="J31">
        <v>32</v>
      </c>
      <c r="K31" s="3">
        <f>J31/I31</f>
        <v>1</v>
      </c>
      <c r="L31" s="5"/>
    </row>
    <row r="32" spans="1:12" x14ac:dyDescent="0.2">
      <c r="A32" s="2">
        <v>43805</v>
      </c>
      <c r="B32" s="2">
        <v>43809</v>
      </c>
      <c r="C32" t="s">
        <v>34</v>
      </c>
      <c r="D32" t="s">
        <v>43</v>
      </c>
      <c r="E32" t="s">
        <v>23</v>
      </c>
      <c r="F32">
        <v>50</v>
      </c>
      <c r="G32">
        <v>400</v>
      </c>
      <c r="H32">
        <v>4</v>
      </c>
      <c r="I32">
        <v>39</v>
      </c>
      <c r="J32">
        <v>39</v>
      </c>
      <c r="K32" s="3">
        <f t="shared" ref="K32:K34" si="6">J32/I32</f>
        <v>1</v>
      </c>
      <c r="L32" s="6">
        <f>K32-K31</f>
        <v>0</v>
      </c>
    </row>
    <row r="33" spans="1:12" x14ac:dyDescent="0.2">
      <c r="A33" s="2">
        <v>43805</v>
      </c>
      <c r="B33" s="2">
        <v>43809</v>
      </c>
      <c r="C33" t="s">
        <v>34</v>
      </c>
      <c r="D33" t="s">
        <v>43</v>
      </c>
      <c r="E33" t="s">
        <v>23</v>
      </c>
      <c r="F33">
        <v>75</v>
      </c>
      <c r="G33">
        <v>0</v>
      </c>
      <c r="H33">
        <v>4</v>
      </c>
      <c r="I33">
        <v>38</v>
      </c>
      <c r="J33">
        <v>38</v>
      </c>
      <c r="K33" s="3">
        <f t="shared" si="6"/>
        <v>1</v>
      </c>
      <c r="L33" s="5"/>
    </row>
    <row r="34" spans="1:12" x14ac:dyDescent="0.2">
      <c r="A34" s="2">
        <v>43805</v>
      </c>
      <c r="B34" s="2">
        <v>43809</v>
      </c>
      <c r="C34" t="s">
        <v>34</v>
      </c>
      <c r="D34" t="s">
        <v>43</v>
      </c>
      <c r="E34" t="s">
        <v>23</v>
      </c>
      <c r="F34">
        <v>75</v>
      </c>
      <c r="G34">
        <v>400</v>
      </c>
      <c r="H34">
        <v>4</v>
      </c>
      <c r="I34">
        <v>35</v>
      </c>
      <c r="J34">
        <v>35</v>
      </c>
      <c r="K34" s="3">
        <f t="shared" si="6"/>
        <v>1</v>
      </c>
      <c r="L34" s="6">
        <f>K34-K33</f>
        <v>0</v>
      </c>
    </row>
    <row r="35" spans="1:12" x14ac:dyDescent="0.2">
      <c r="A35" s="2">
        <v>43805</v>
      </c>
      <c r="B35" s="2">
        <v>43809</v>
      </c>
      <c r="C35" t="s">
        <v>93</v>
      </c>
      <c r="D35" t="s">
        <v>43</v>
      </c>
      <c r="E35" t="s">
        <v>23</v>
      </c>
      <c r="F35">
        <v>50</v>
      </c>
      <c r="G35">
        <v>0</v>
      </c>
      <c r="H35">
        <v>4</v>
      </c>
      <c r="I35">
        <v>27</v>
      </c>
      <c r="J35">
        <v>27</v>
      </c>
      <c r="K35" s="3">
        <f>J35/I35</f>
        <v>1</v>
      </c>
      <c r="L35" s="5"/>
    </row>
    <row r="36" spans="1:12" x14ac:dyDescent="0.2">
      <c r="A36" s="2">
        <v>43805</v>
      </c>
      <c r="B36" s="2">
        <v>43809</v>
      </c>
      <c r="C36" t="s">
        <v>93</v>
      </c>
      <c r="D36" t="s">
        <v>43</v>
      </c>
      <c r="E36" t="s">
        <v>23</v>
      </c>
      <c r="F36">
        <v>50</v>
      </c>
      <c r="G36">
        <v>400</v>
      </c>
      <c r="H36">
        <v>4</v>
      </c>
      <c r="I36">
        <v>19</v>
      </c>
      <c r="J36">
        <v>19</v>
      </c>
      <c r="K36" s="3">
        <f t="shared" ref="K36:K38" si="7">J36/I36</f>
        <v>1</v>
      </c>
      <c r="L36" s="6">
        <f>K36-K35</f>
        <v>0</v>
      </c>
    </row>
    <row r="37" spans="1:12" x14ac:dyDescent="0.2">
      <c r="A37" s="2">
        <v>43805</v>
      </c>
      <c r="B37" s="2">
        <v>43809</v>
      </c>
      <c r="C37" t="s">
        <v>93</v>
      </c>
      <c r="D37" t="s">
        <v>43</v>
      </c>
      <c r="E37" t="s">
        <v>23</v>
      </c>
      <c r="F37">
        <v>75</v>
      </c>
      <c r="G37">
        <v>0</v>
      </c>
      <c r="H37">
        <v>4</v>
      </c>
      <c r="I37">
        <v>34</v>
      </c>
      <c r="J37">
        <v>34</v>
      </c>
      <c r="K37" s="3">
        <f t="shared" si="7"/>
        <v>1</v>
      </c>
      <c r="L37" s="5"/>
    </row>
    <row r="38" spans="1:12" x14ac:dyDescent="0.2">
      <c r="A38" s="2">
        <v>43805</v>
      </c>
      <c r="B38" s="2">
        <v>43809</v>
      </c>
      <c r="C38" t="s">
        <v>93</v>
      </c>
      <c r="D38" t="s">
        <v>43</v>
      </c>
      <c r="E38" t="s">
        <v>23</v>
      </c>
      <c r="F38">
        <v>75</v>
      </c>
      <c r="G38">
        <v>400</v>
      </c>
      <c r="H38">
        <v>4</v>
      </c>
      <c r="I38">
        <v>31</v>
      </c>
      <c r="J38">
        <v>31</v>
      </c>
      <c r="K38" s="3">
        <f t="shared" si="7"/>
        <v>1</v>
      </c>
      <c r="L38" s="6">
        <f>K38-K37</f>
        <v>0</v>
      </c>
    </row>
    <row r="39" spans="1:12" x14ac:dyDescent="0.2">
      <c r="A39" s="2">
        <v>43805</v>
      </c>
      <c r="B39" s="2">
        <v>43809</v>
      </c>
      <c r="C39" t="s">
        <v>28</v>
      </c>
      <c r="D39" t="s">
        <v>43</v>
      </c>
      <c r="E39" t="s">
        <v>23</v>
      </c>
      <c r="F39">
        <v>50</v>
      </c>
      <c r="G39">
        <v>0</v>
      </c>
      <c r="H39">
        <v>4</v>
      </c>
      <c r="I39">
        <v>34</v>
      </c>
      <c r="J39">
        <v>32</v>
      </c>
      <c r="K39" s="3">
        <f>J39/I39</f>
        <v>0.94117647058823528</v>
      </c>
      <c r="L39" s="5"/>
    </row>
    <row r="40" spans="1:12" x14ac:dyDescent="0.2">
      <c r="A40" s="2">
        <v>43805</v>
      </c>
      <c r="B40" s="2">
        <v>43809</v>
      </c>
      <c r="C40" t="s">
        <v>28</v>
      </c>
      <c r="D40" t="s">
        <v>43</v>
      </c>
      <c r="E40" t="s">
        <v>23</v>
      </c>
      <c r="F40">
        <v>50</v>
      </c>
      <c r="G40">
        <v>400</v>
      </c>
      <c r="H40">
        <v>4</v>
      </c>
      <c r="I40">
        <v>34</v>
      </c>
      <c r="J40">
        <v>34</v>
      </c>
      <c r="K40" s="3">
        <f t="shared" ref="K40:K42" si="8">J40/I40</f>
        <v>1</v>
      </c>
      <c r="L40" s="6">
        <f>K40-K39</f>
        <v>5.8823529411764719E-2</v>
      </c>
    </row>
    <row r="41" spans="1:12" x14ac:dyDescent="0.2">
      <c r="A41" s="2">
        <v>43805</v>
      </c>
      <c r="B41" s="2">
        <v>43809</v>
      </c>
      <c r="C41" t="s">
        <v>28</v>
      </c>
      <c r="D41" t="s">
        <v>43</v>
      </c>
      <c r="E41" t="s">
        <v>23</v>
      </c>
      <c r="F41">
        <v>75</v>
      </c>
      <c r="G41">
        <v>0</v>
      </c>
      <c r="H41">
        <v>4</v>
      </c>
      <c r="I41">
        <v>43</v>
      </c>
      <c r="J41">
        <v>43</v>
      </c>
      <c r="K41" s="3">
        <f t="shared" si="8"/>
        <v>1</v>
      </c>
      <c r="L41" s="5"/>
    </row>
    <row r="42" spans="1:12" x14ac:dyDescent="0.2">
      <c r="A42" s="2">
        <v>43805</v>
      </c>
      <c r="B42" s="2">
        <v>43809</v>
      </c>
      <c r="C42" t="s">
        <v>28</v>
      </c>
      <c r="D42" t="s">
        <v>43</v>
      </c>
      <c r="E42" t="s">
        <v>23</v>
      </c>
      <c r="F42">
        <v>75</v>
      </c>
      <c r="G42">
        <v>400</v>
      </c>
      <c r="H42">
        <v>4</v>
      </c>
      <c r="I42">
        <v>40</v>
      </c>
      <c r="J42">
        <v>39</v>
      </c>
      <c r="K42" s="3">
        <f t="shared" si="8"/>
        <v>0.97499999999999998</v>
      </c>
      <c r="L42" s="6">
        <f>K42-K41</f>
        <v>-2.5000000000000022E-2</v>
      </c>
    </row>
    <row r="43" spans="1:12" x14ac:dyDescent="0.2">
      <c r="A43" s="2">
        <v>43805</v>
      </c>
      <c r="B43" s="2">
        <v>43809</v>
      </c>
      <c r="C43" t="s">
        <v>94</v>
      </c>
      <c r="D43" t="s">
        <v>43</v>
      </c>
      <c r="E43" t="s">
        <v>23</v>
      </c>
      <c r="F43">
        <v>50</v>
      </c>
      <c r="G43">
        <v>0</v>
      </c>
      <c r="H43">
        <v>4</v>
      </c>
      <c r="I43">
        <v>30</v>
      </c>
      <c r="J43">
        <v>30</v>
      </c>
      <c r="K43" s="3">
        <f>J43/I43</f>
        <v>1</v>
      </c>
      <c r="L43" s="5"/>
    </row>
    <row r="44" spans="1:12" x14ac:dyDescent="0.2">
      <c r="A44" s="2">
        <v>43805</v>
      </c>
      <c r="B44" s="2">
        <v>43809</v>
      </c>
      <c r="C44" t="s">
        <v>94</v>
      </c>
      <c r="D44" t="s">
        <v>43</v>
      </c>
      <c r="E44" t="s">
        <v>23</v>
      </c>
      <c r="F44">
        <v>50</v>
      </c>
      <c r="G44">
        <v>400</v>
      </c>
      <c r="H44">
        <v>4</v>
      </c>
      <c r="I44">
        <v>43</v>
      </c>
      <c r="J44">
        <v>43</v>
      </c>
      <c r="K44" s="3">
        <f t="shared" ref="K44:K46" si="9">J44/I44</f>
        <v>1</v>
      </c>
      <c r="L44" s="6">
        <f>K44-K43</f>
        <v>0</v>
      </c>
    </row>
    <row r="45" spans="1:12" x14ac:dyDescent="0.2">
      <c r="A45" s="2">
        <v>43805</v>
      </c>
      <c r="B45" s="2">
        <v>43809</v>
      </c>
      <c r="C45" t="s">
        <v>94</v>
      </c>
      <c r="D45" t="s">
        <v>43</v>
      </c>
      <c r="E45" t="s">
        <v>23</v>
      </c>
      <c r="F45">
        <v>75</v>
      </c>
      <c r="G45">
        <v>0</v>
      </c>
      <c r="H45">
        <v>4</v>
      </c>
      <c r="I45">
        <v>39</v>
      </c>
      <c r="J45">
        <v>13</v>
      </c>
      <c r="K45" s="3">
        <f t="shared" si="9"/>
        <v>0.33333333333333331</v>
      </c>
      <c r="L45" s="5"/>
    </row>
    <row r="46" spans="1:12" x14ac:dyDescent="0.2">
      <c r="A46" s="2">
        <v>43805</v>
      </c>
      <c r="B46" s="2">
        <v>43809</v>
      </c>
      <c r="C46" t="s">
        <v>94</v>
      </c>
      <c r="D46" t="s">
        <v>43</v>
      </c>
      <c r="E46" t="s">
        <v>23</v>
      </c>
      <c r="F46">
        <v>75</v>
      </c>
      <c r="G46">
        <v>400</v>
      </c>
      <c r="H46">
        <v>4</v>
      </c>
      <c r="I46">
        <v>48</v>
      </c>
      <c r="J46">
        <v>10</v>
      </c>
      <c r="K46" s="3">
        <f t="shared" si="9"/>
        <v>0.20833333333333334</v>
      </c>
      <c r="L46" s="6">
        <f>K46-K45</f>
        <v>-0.12499999999999997</v>
      </c>
    </row>
    <row r="49" spans="1:11" x14ac:dyDescent="0.2">
      <c r="A49" t="s">
        <v>17</v>
      </c>
    </row>
    <row r="51" spans="1:11" ht="119" x14ac:dyDescent="0.2">
      <c r="A51" s="17" t="s">
        <v>0</v>
      </c>
      <c r="B51" s="17" t="s">
        <v>1</v>
      </c>
      <c r="C51" s="17" t="s">
        <v>2</v>
      </c>
      <c r="D51" s="17" t="s">
        <v>3</v>
      </c>
      <c r="E51" s="17" t="s">
        <v>4</v>
      </c>
      <c r="F51" s="17" t="s">
        <v>5</v>
      </c>
      <c r="G51" s="17" t="s">
        <v>6</v>
      </c>
      <c r="H51" s="17" t="s">
        <v>7</v>
      </c>
      <c r="I51" s="17" t="s">
        <v>8</v>
      </c>
      <c r="J51" s="17" t="s">
        <v>9</v>
      </c>
      <c r="K51" s="17" t="s">
        <v>10</v>
      </c>
    </row>
    <row r="52" spans="1:11" x14ac:dyDescent="0.2">
      <c r="A52" s="18">
        <v>43805</v>
      </c>
      <c r="B52" s="18">
        <v>43809</v>
      </c>
      <c r="C52" s="23">
        <v>796</v>
      </c>
      <c r="D52" s="19" t="s">
        <v>43</v>
      </c>
      <c r="E52" s="19" t="s">
        <v>23</v>
      </c>
      <c r="F52" s="19">
        <v>50</v>
      </c>
      <c r="G52" s="19">
        <v>0</v>
      </c>
      <c r="H52" s="19">
        <v>4</v>
      </c>
      <c r="I52" s="19">
        <v>40</v>
      </c>
      <c r="J52" s="19">
        <v>40</v>
      </c>
      <c r="K52" s="20">
        <v>1</v>
      </c>
    </row>
    <row r="53" spans="1:11" x14ac:dyDescent="0.2">
      <c r="A53" s="18">
        <v>43805</v>
      </c>
      <c r="B53" s="18">
        <v>43809</v>
      </c>
      <c r="C53" s="23">
        <v>796</v>
      </c>
      <c r="D53" s="19" t="s">
        <v>43</v>
      </c>
      <c r="E53" s="19" t="s">
        <v>23</v>
      </c>
      <c r="F53" s="19">
        <v>75</v>
      </c>
      <c r="G53" s="19">
        <v>0</v>
      </c>
      <c r="H53" s="19">
        <v>4</v>
      </c>
      <c r="I53" s="19">
        <v>47</v>
      </c>
      <c r="J53" s="19">
        <v>47</v>
      </c>
      <c r="K53" s="20">
        <v>1</v>
      </c>
    </row>
    <row r="54" spans="1:11" x14ac:dyDescent="0.2">
      <c r="A54" s="18">
        <v>43805</v>
      </c>
      <c r="B54" s="18">
        <v>43809</v>
      </c>
      <c r="C54" s="19" t="s">
        <v>94</v>
      </c>
      <c r="D54" s="19" t="s">
        <v>43</v>
      </c>
      <c r="E54" s="19" t="s">
        <v>23</v>
      </c>
      <c r="F54" s="19">
        <v>50</v>
      </c>
      <c r="G54" s="19">
        <v>0</v>
      </c>
      <c r="H54" s="19">
        <v>4</v>
      </c>
      <c r="I54" s="19">
        <v>30</v>
      </c>
      <c r="J54" s="19">
        <v>30</v>
      </c>
      <c r="K54" s="20">
        <v>1</v>
      </c>
    </row>
    <row r="55" spans="1:11" x14ac:dyDescent="0.2">
      <c r="A55" s="18">
        <v>43805</v>
      </c>
      <c r="B55" s="18">
        <v>43809</v>
      </c>
      <c r="C55" s="19" t="s">
        <v>94</v>
      </c>
      <c r="D55" s="19" t="s">
        <v>43</v>
      </c>
      <c r="E55" s="19" t="s">
        <v>23</v>
      </c>
      <c r="F55" s="19">
        <v>75</v>
      </c>
      <c r="G55" s="19">
        <v>0</v>
      </c>
      <c r="H55" s="19">
        <v>4</v>
      </c>
      <c r="I55" s="19">
        <v>39</v>
      </c>
      <c r="J55" s="19">
        <v>13</v>
      </c>
      <c r="K55" s="20">
        <v>0.33</v>
      </c>
    </row>
    <row r="56" spans="1:11" x14ac:dyDescent="0.2">
      <c r="A56" s="18">
        <v>43805</v>
      </c>
      <c r="B56" s="18">
        <v>43809</v>
      </c>
      <c r="C56" s="19" t="s">
        <v>93</v>
      </c>
      <c r="D56" s="19" t="s">
        <v>43</v>
      </c>
      <c r="E56" s="19" t="s">
        <v>23</v>
      </c>
      <c r="F56" s="19">
        <v>50</v>
      </c>
      <c r="G56" s="19">
        <v>0</v>
      </c>
      <c r="H56" s="19">
        <v>4</v>
      </c>
      <c r="I56" s="19">
        <v>27</v>
      </c>
      <c r="J56" s="19">
        <v>27</v>
      </c>
      <c r="K56" s="20">
        <v>1</v>
      </c>
    </row>
    <row r="57" spans="1:11" x14ac:dyDescent="0.2">
      <c r="A57" s="18">
        <v>43805</v>
      </c>
      <c r="B57" s="18">
        <v>43809</v>
      </c>
      <c r="C57" s="19" t="s">
        <v>93</v>
      </c>
      <c r="D57" s="19" t="s">
        <v>43</v>
      </c>
      <c r="E57" s="19" t="s">
        <v>23</v>
      </c>
      <c r="F57" s="19">
        <v>75</v>
      </c>
      <c r="G57" s="19">
        <v>0</v>
      </c>
      <c r="H57" s="19">
        <v>4</v>
      </c>
      <c r="I57" s="19">
        <v>34</v>
      </c>
      <c r="J57" s="19">
        <v>34</v>
      </c>
      <c r="K57" s="20">
        <v>1</v>
      </c>
    </row>
    <row r="58" spans="1:11" x14ac:dyDescent="0.2">
      <c r="A58" s="18">
        <v>43805</v>
      </c>
      <c r="B58" s="18">
        <v>43809</v>
      </c>
      <c r="C58" s="19" t="s">
        <v>28</v>
      </c>
      <c r="D58" s="19" t="s">
        <v>43</v>
      </c>
      <c r="E58" s="19" t="s">
        <v>23</v>
      </c>
      <c r="F58" s="19">
        <v>50</v>
      </c>
      <c r="G58" s="19">
        <v>0</v>
      </c>
      <c r="H58" s="19">
        <v>4</v>
      </c>
      <c r="I58" s="19">
        <v>34</v>
      </c>
      <c r="J58" s="19">
        <v>32</v>
      </c>
      <c r="K58" s="20">
        <v>0.94</v>
      </c>
    </row>
    <row r="59" spans="1:11" x14ac:dyDescent="0.2">
      <c r="A59" s="18">
        <v>43805</v>
      </c>
      <c r="B59" s="18">
        <v>43809</v>
      </c>
      <c r="C59" s="19" t="s">
        <v>28</v>
      </c>
      <c r="D59" s="19" t="s">
        <v>43</v>
      </c>
      <c r="E59" s="19" t="s">
        <v>23</v>
      </c>
      <c r="F59" s="19">
        <v>75</v>
      </c>
      <c r="G59" s="19">
        <v>0</v>
      </c>
      <c r="H59" s="19">
        <v>4</v>
      </c>
      <c r="I59" s="19">
        <v>43</v>
      </c>
      <c r="J59" s="19">
        <v>43</v>
      </c>
      <c r="K59" s="20">
        <v>1</v>
      </c>
    </row>
    <row r="60" spans="1:11" x14ac:dyDescent="0.2">
      <c r="A60" s="18">
        <v>43805</v>
      </c>
      <c r="B60" s="18">
        <v>43809</v>
      </c>
      <c r="C60" s="19" t="s">
        <v>87</v>
      </c>
      <c r="D60" s="19" t="s">
        <v>43</v>
      </c>
      <c r="E60" s="19" t="s">
        <v>23</v>
      </c>
      <c r="F60" s="19">
        <v>50</v>
      </c>
      <c r="G60" s="19">
        <v>0</v>
      </c>
      <c r="H60" s="19">
        <v>4</v>
      </c>
      <c r="I60" s="19">
        <v>37</v>
      </c>
      <c r="J60" s="19">
        <v>37</v>
      </c>
      <c r="K60" s="20">
        <v>1</v>
      </c>
    </row>
    <row r="61" spans="1:11" x14ac:dyDescent="0.2">
      <c r="A61" s="18">
        <v>43805</v>
      </c>
      <c r="B61" s="18">
        <v>43809</v>
      </c>
      <c r="C61" s="19" t="s">
        <v>87</v>
      </c>
      <c r="D61" s="19" t="s">
        <v>43</v>
      </c>
      <c r="E61" s="19" t="s">
        <v>23</v>
      </c>
      <c r="F61" s="19">
        <v>75</v>
      </c>
      <c r="G61" s="19">
        <v>0</v>
      </c>
      <c r="H61" s="19">
        <v>4</v>
      </c>
      <c r="I61" s="19">
        <v>40</v>
      </c>
      <c r="J61" s="19">
        <v>40</v>
      </c>
      <c r="K61" s="20">
        <v>1</v>
      </c>
    </row>
    <row r="62" spans="1:11" x14ac:dyDescent="0.2">
      <c r="A62" s="18">
        <v>43805</v>
      </c>
      <c r="B62" s="18">
        <v>43809</v>
      </c>
      <c r="C62" s="19" t="s">
        <v>88</v>
      </c>
      <c r="D62" s="19" t="s">
        <v>43</v>
      </c>
      <c r="E62" s="19" t="s">
        <v>23</v>
      </c>
      <c r="F62" s="19">
        <v>50</v>
      </c>
      <c r="G62" s="19">
        <v>0</v>
      </c>
      <c r="H62" s="19">
        <v>4</v>
      </c>
      <c r="I62" s="19">
        <v>44</v>
      </c>
      <c r="J62" s="19">
        <v>30</v>
      </c>
      <c r="K62" s="20">
        <v>0.68</v>
      </c>
    </row>
    <row r="63" spans="1:11" x14ac:dyDescent="0.2">
      <c r="A63" s="18">
        <v>43805</v>
      </c>
      <c r="B63" s="18">
        <v>43809</v>
      </c>
      <c r="C63" s="19" t="s">
        <v>88</v>
      </c>
      <c r="D63" s="19" t="s">
        <v>43</v>
      </c>
      <c r="E63" s="19" t="s">
        <v>23</v>
      </c>
      <c r="F63" s="19">
        <v>75</v>
      </c>
      <c r="G63" s="19">
        <v>0</v>
      </c>
      <c r="H63" s="19">
        <v>4</v>
      </c>
      <c r="I63" s="19">
        <v>40</v>
      </c>
      <c r="J63" s="19">
        <v>39</v>
      </c>
      <c r="K63" s="20">
        <v>0.98</v>
      </c>
    </row>
    <row r="64" spans="1:11" x14ac:dyDescent="0.2">
      <c r="A64" s="18">
        <v>43805</v>
      </c>
      <c r="B64" s="18">
        <v>43809</v>
      </c>
      <c r="C64" s="19" t="s">
        <v>90</v>
      </c>
      <c r="D64" s="19" t="s">
        <v>43</v>
      </c>
      <c r="E64" s="19" t="s">
        <v>23</v>
      </c>
      <c r="F64" s="19">
        <v>50</v>
      </c>
      <c r="G64" s="19">
        <v>0</v>
      </c>
      <c r="H64" s="19">
        <v>4</v>
      </c>
      <c r="I64" s="19">
        <v>31</v>
      </c>
      <c r="J64" s="19">
        <v>0</v>
      </c>
      <c r="K64" s="20">
        <v>0</v>
      </c>
    </row>
    <row r="65" spans="1:11" x14ac:dyDescent="0.2">
      <c r="A65" s="18">
        <v>43805</v>
      </c>
      <c r="B65" s="18">
        <v>43809</v>
      </c>
      <c r="C65" s="19" t="s">
        <v>90</v>
      </c>
      <c r="D65" s="19" t="s">
        <v>43</v>
      </c>
      <c r="E65" s="19" t="s">
        <v>23</v>
      </c>
      <c r="F65" s="19">
        <v>75</v>
      </c>
      <c r="G65" s="19">
        <v>0</v>
      </c>
      <c r="H65" s="19">
        <v>4</v>
      </c>
      <c r="I65" s="19">
        <v>41</v>
      </c>
      <c r="J65" s="19">
        <v>0</v>
      </c>
      <c r="K65" s="20">
        <v>0</v>
      </c>
    </row>
    <row r="66" spans="1:11" x14ac:dyDescent="0.2">
      <c r="A66" s="18">
        <v>43805</v>
      </c>
      <c r="B66" s="18">
        <v>43809</v>
      </c>
      <c r="C66" s="19" t="s">
        <v>34</v>
      </c>
      <c r="D66" s="19" t="s">
        <v>43</v>
      </c>
      <c r="E66" s="19" t="s">
        <v>23</v>
      </c>
      <c r="F66" s="19">
        <v>50</v>
      </c>
      <c r="G66" s="19">
        <v>0</v>
      </c>
      <c r="H66" s="19">
        <v>4</v>
      </c>
      <c r="I66" s="19">
        <v>32</v>
      </c>
      <c r="J66" s="19">
        <v>32</v>
      </c>
      <c r="K66" s="20">
        <v>1</v>
      </c>
    </row>
    <row r="67" spans="1:11" x14ac:dyDescent="0.2">
      <c r="A67" s="18">
        <v>43805</v>
      </c>
      <c r="B67" s="18">
        <v>43809</v>
      </c>
      <c r="C67" s="19" t="s">
        <v>34</v>
      </c>
      <c r="D67" s="19" t="s">
        <v>43</v>
      </c>
      <c r="E67" s="19" t="s">
        <v>23</v>
      </c>
      <c r="F67" s="19">
        <v>75</v>
      </c>
      <c r="G67" s="19">
        <v>0</v>
      </c>
      <c r="H67" s="19">
        <v>4</v>
      </c>
      <c r="I67" s="19">
        <v>38</v>
      </c>
      <c r="J67" s="19">
        <v>38</v>
      </c>
      <c r="K67" s="20">
        <v>1</v>
      </c>
    </row>
    <row r="68" spans="1:11" x14ac:dyDescent="0.2">
      <c r="A68" s="18">
        <v>43805</v>
      </c>
      <c r="B68" s="18">
        <v>43809</v>
      </c>
      <c r="C68" s="19" t="s">
        <v>89</v>
      </c>
      <c r="D68" s="19" t="s">
        <v>43</v>
      </c>
      <c r="E68" s="19" t="s">
        <v>23</v>
      </c>
      <c r="F68" s="19">
        <v>50</v>
      </c>
      <c r="G68" s="19">
        <v>0</v>
      </c>
      <c r="H68" s="19">
        <v>4</v>
      </c>
      <c r="I68" s="19">
        <v>0</v>
      </c>
      <c r="J68" s="19">
        <v>0</v>
      </c>
      <c r="K68" s="20">
        <v>0</v>
      </c>
    </row>
    <row r="69" spans="1:11" x14ac:dyDescent="0.2">
      <c r="A69" s="18">
        <v>43805</v>
      </c>
      <c r="B69" s="18">
        <v>43809</v>
      </c>
      <c r="C69" s="19" t="s">
        <v>89</v>
      </c>
      <c r="D69" s="19" t="s">
        <v>43</v>
      </c>
      <c r="E69" s="19" t="s">
        <v>23</v>
      </c>
      <c r="F69" s="19">
        <v>75</v>
      </c>
      <c r="G69" s="19">
        <v>0</v>
      </c>
      <c r="H69" s="19">
        <v>4</v>
      </c>
      <c r="I69" s="19">
        <v>0</v>
      </c>
      <c r="J69" s="19">
        <v>0</v>
      </c>
      <c r="K69" s="20">
        <v>0</v>
      </c>
    </row>
    <row r="70" spans="1:11" x14ac:dyDescent="0.2">
      <c r="A70" s="18">
        <v>43805</v>
      </c>
      <c r="B70" s="18">
        <v>43809</v>
      </c>
      <c r="C70" s="19" t="s">
        <v>91</v>
      </c>
      <c r="D70" s="19" t="s">
        <v>43</v>
      </c>
      <c r="E70" s="19" t="s">
        <v>23</v>
      </c>
      <c r="F70" s="19">
        <v>50</v>
      </c>
      <c r="G70" s="19">
        <v>0</v>
      </c>
      <c r="H70" s="19">
        <v>4</v>
      </c>
      <c r="I70" s="19">
        <v>43</v>
      </c>
      <c r="J70" s="19">
        <v>22</v>
      </c>
      <c r="K70" s="20">
        <v>0.51</v>
      </c>
    </row>
    <row r="71" spans="1:11" x14ac:dyDescent="0.2">
      <c r="A71" s="18">
        <v>43805</v>
      </c>
      <c r="B71" s="18">
        <v>43809</v>
      </c>
      <c r="C71" s="19" t="s">
        <v>91</v>
      </c>
      <c r="D71" s="19" t="s">
        <v>43</v>
      </c>
      <c r="E71" s="19" t="s">
        <v>23</v>
      </c>
      <c r="F71" s="19">
        <v>75</v>
      </c>
      <c r="G71" s="19">
        <v>0</v>
      </c>
      <c r="H71" s="19">
        <v>4</v>
      </c>
      <c r="I71" s="19">
        <v>57</v>
      </c>
      <c r="J71" s="19">
        <v>15</v>
      </c>
      <c r="K71" s="20">
        <v>0.26</v>
      </c>
    </row>
    <row r="72" spans="1:11" x14ac:dyDescent="0.2">
      <c r="A72" s="18">
        <v>43805</v>
      </c>
      <c r="B72" s="18">
        <v>43809</v>
      </c>
      <c r="C72" s="19" t="s">
        <v>92</v>
      </c>
      <c r="D72" s="19" t="s">
        <v>43</v>
      </c>
      <c r="E72" s="19" t="s">
        <v>23</v>
      </c>
      <c r="F72" s="19">
        <v>75</v>
      </c>
      <c r="G72" s="19">
        <v>0</v>
      </c>
      <c r="H72" s="19">
        <v>4</v>
      </c>
      <c r="I72" s="19">
        <v>50</v>
      </c>
      <c r="J72" s="19">
        <v>25</v>
      </c>
      <c r="K72" s="20">
        <v>0.5</v>
      </c>
    </row>
    <row r="73" spans="1:11" x14ac:dyDescent="0.2">
      <c r="A73" s="18">
        <v>43805</v>
      </c>
      <c r="B73" s="18">
        <v>43809</v>
      </c>
      <c r="C73" s="19" t="s">
        <v>92</v>
      </c>
      <c r="D73" s="19" t="s">
        <v>43</v>
      </c>
      <c r="E73" s="19" t="s">
        <v>23</v>
      </c>
      <c r="F73" s="19">
        <v>75</v>
      </c>
      <c r="G73" s="19">
        <v>0</v>
      </c>
      <c r="H73" s="19">
        <v>4</v>
      </c>
      <c r="I73" s="19">
        <v>45</v>
      </c>
      <c r="J73" s="19">
        <v>43</v>
      </c>
      <c r="K73" s="20">
        <v>0.96</v>
      </c>
    </row>
    <row r="74" spans="1:11" x14ac:dyDescent="0.2">
      <c r="A74" s="18">
        <v>43805</v>
      </c>
      <c r="B74" s="18">
        <v>43809</v>
      </c>
      <c r="C74" s="23">
        <v>796</v>
      </c>
      <c r="D74" s="19" t="s">
        <v>43</v>
      </c>
      <c r="E74" s="19" t="s">
        <v>23</v>
      </c>
      <c r="F74" s="19">
        <v>50</v>
      </c>
      <c r="G74" s="19">
        <v>400</v>
      </c>
      <c r="H74" s="19">
        <v>4</v>
      </c>
      <c r="I74" s="19">
        <v>43</v>
      </c>
      <c r="J74" s="19">
        <v>43</v>
      </c>
      <c r="K74" s="20">
        <v>1</v>
      </c>
    </row>
    <row r="75" spans="1:11" x14ac:dyDescent="0.2">
      <c r="A75" s="18">
        <v>43805</v>
      </c>
      <c r="B75" s="18">
        <v>43809</v>
      </c>
      <c r="C75" s="23">
        <v>796</v>
      </c>
      <c r="D75" s="19" t="s">
        <v>43</v>
      </c>
      <c r="E75" s="19" t="s">
        <v>23</v>
      </c>
      <c r="F75" s="19">
        <v>75</v>
      </c>
      <c r="G75" s="19">
        <v>400</v>
      </c>
      <c r="H75" s="19">
        <v>4</v>
      </c>
      <c r="I75" s="19">
        <v>49</v>
      </c>
      <c r="J75" s="19">
        <v>49</v>
      </c>
      <c r="K75" s="20">
        <v>1</v>
      </c>
    </row>
    <row r="76" spans="1:11" x14ac:dyDescent="0.2">
      <c r="A76" s="18">
        <v>43805</v>
      </c>
      <c r="B76" s="18">
        <v>43809</v>
      </c>
      <c r="C76" s="19" t="s">
        <v>94</v>
      </c>
      <c r="D76" s="19" t="s">
        <v>43</v>
      </c>
      <c r="E76" s="19" t="s">
        <v>23</v>
      </c>
      <c r="F76" s="19">
        <v>50</v>
      </c>
      <c r="G76" s="19">
        <v>400</v>
      </c>
      <c r="H76" s="19">
        <v>4</v>
      </c>
      <c r="I76" s="19">
        <v>43</v>
      </c>
      <c r="J76" s="19">
        <v>43</v>
      </c>
      <c r="K76" s="20">
        <v>1</v>
      </c>
    </row>
    <row r="77" spans="1:11" x14ac:dyDescent="0.2">
      <c r="A77" s="18">
        <v>43805</v>
      </c>
      <c r="B77" s="18">
        <v>43809</v>
      </c>
      <c r="C77" s="19" t="s">
        <v>94</v>
      </c>
      <c r="D77" s="19" t="s">
        <v>43</v>
      </c>
      <c r="E77" s="19" t="s">
        <v>23</v>
      </c>
      <c r="F77" s="19">
        <v>75</v>
      </c>
      <c r="G77" s="19">
        <v>400</v>
      </c>
      <c r="H77" s="19">
        <v>4</v>
      </c>
      <c r="I77" s="19">
        <v>48</v>
      </c>
      <c r="J77" s="19">
        <v>10</v>
      </c>
      <c r="K77" s="20">
        <v>0.21</v>
      </c>
    </row>
    <row r="78" spans="1:11" x14ac:dyDescent="0.2">
      <c r="A78" s="18">
        <v>43805</v>
      </c>
      <c r="B78" s="18">
        <v>43809</v>
      </c>
      <c r="C78" s="19" t="s">
        <v>93</v>
      </c>
      <c r="D78" s="19" t="s">
        <v>43</v>
      </c>
      <c r="E78" s="19" t="s">
        <v>23</v>
      </c>
      <c r="F78" s="19">
        <v>50</v>
      </c>
      <c r="G78" s="19">
        <v>400</v>
      </c>
      <c r="H78" s="19">
        <v>4</v>
      </c>
      <c r="I78" s="19">
        <v>19</v>
      </c>
      <c r="J78" s="19">
        <v>19</v>
      </c>
      <c r="K78" s="20">
        <v>1</v>
      </c>
    </row>
    <row r="79" spans="1:11" x14ac:dyDescent="0.2">
      <c r="A79" s="18">
        <v>43805</v>
      </c>
      <c r="B79" s="18">
        <v>43809</v>
      </c>
      <c r="C79" s="19" t="s">
        <v>93</v>
      </c>
      <c r="D79" s="19" t="s">
        <v>43</v>
      </c>
      <c r="E79" s="19" t="s">
        <v>23</v>
      </c>
      <c r="F79" s="19">
        <v>75</v>
      </c>
      <c r="G79" s="19">
        <v>400</v>
      </c>
      <c r="H79" s="19">
        <v>4</v>
      </c>
      <c r="I79" s="19">
        <v>31</v>
      </c>
      <c r="J79" s="19">
        <v>31</v>
      </c>
      <c r="K79" s="20">
        <v>1</v>
      </c>
    </row>
    <row r="80" spans="1:11" x14ac:dyDescent="0.2">
      <c r="A80" s="18">
        <v>43805</v>
      </c>
      <c r="B80" s="18">
        <v>43809</v>
      </c>
      <c r="C80" s="19" t="s">
        <v>28</v>
      </c>
      <c r="D80" s="19" t="s">
        <v>43</v>
      </c>
      <c r="E80" s="19" t="s">
        <v>23</v>
      </c>
      <c r="F80" s="19">
        <v>50</v>
      </c>
      <c r="G80" s="19">
        <v>400</v>
      </c>
      <c r="H80" s="19">
        <v>4</v>
      </c>
      <c r="I80" s="19">
        <v>34</v>
      </c>
      <c r="J80" s="19">
        <v>34</v>
      </c>
      <c r="K80" s="20">
        <v>1</v>
      </c>
    </row>
    <row r="81" spans="1:11" x14ac:dyDescent="0.2">
      <c r="A81" s="18">
        <v>43805</v>
      </c>
      <c r="B81" s="18">
        <v>43809</v>
      </c>
      <c r="C81" s="19" t="s">
        <v>28</v>
      </c>
      <c r="D81" s="19" t="s">
        <v>43</v>
      </c>
      <c r="E81" s="19" t="s">
        <v>23</v>
      </c>
      <c r="F81" s="19">
        <v>75</v>
      </c>
      <c r="G81" s="19">
        <v>400</v>
      </c>
      <c r="H81" s="19">
        <v>4</v>
      </c>
      <c r="I81" s="19">
        <v>40</v>
      </c>
      <c r="J81" s="19">
        <v>39</v>
      </c>
      <c r="K81" s="20">
        <v>0.98</v>
      </c>
    </row>
    <row r="82" spans="1:11" x14ac:dyDescent="0.2">
      <c r="A82" s="18">
        <v>43805</v>
      </c>
      <c r="B82" s="18">
        <v>43809</v>
      </c>
      <c r="C82" s="19" t="s">
        <v>87</v>
      </c>
      <c r="D82" s="19" t="s">
        <v>43</v>
      </c>
      <c r="E82" s="19" t="s">
        <v>23</v>
      </c>
      <c r="F82" s="19">
        <v>50</v>
      </c>
      <c r="G82" s="19">
        <v>400</v>
      </c>
      <c r="H82" s="19">
        <v>4</v>
      </c>
      <c r="I82" s="19">
        <v>48</v>
      </c>
      <c r="J82" s="19">
        <v>48</v>
      </c>
      <c r="K82" s="20">
        <v>1</v>
      </c>
    </row>
    <row r="83" spans="1:11" x14ac:dyDescent="0.2">
      <c r="A83" s="18">
        <v>43805</v>
      </c>
      <c r="B83" s="18">
        <v>43809</v>
      </c>
      <c r="C83" s="19" t="s">
        <v>87</v>
      </c>
      <c r="D83" s="19" t="s">
        <v>43</v>
      </c>
      <c r="E83" s="19" t="s">
        <v>23</v>
      </c>
      <c r="F83" s="19">
        <v>75</v>
      </c>
      <c r="G83" s="19">
        <v>400</v>
      </c>
      <c r="H83" s="19">
        <v>4</v>
      </c>
      <c r="I83" s="19">
        <v>36</v>
      </c>
      <c r="J83" s="19">
        <v>36</v>
      </c>
      <c r="K83" s="20">
        <v>1</v>
      </c>
    </row>
    <row r="84" spans="1:11" x14ac:dyDescent="0.2">
      <c r="A84" s="18">
        <v>43805</v>
      </c>
      <c r="B84" s="18">
        <v>43809</v>
      </c>
      <c r="C84" s="19" t="s">
        <v>88</v>
      </c>
      <c r="D84" s="19" t="s">
        <v>43</v>
      </c>
      <c r="E84" s="19" t="s">
        <v>23</v>
      </c>
      <c r="F84" s="19">
        <v>50</v>
      </c>
      <c r="G84" s="19">
        <v>400</v>
      </c>
      <c r="H84" s="19">
        <v>4</v>
      </c>
      <c r="I84" s="19">
        <v>34</v>
      </c>
      <c r="J84" s="19">
        <v>30</v>
      </c>
      <c r="K84" s="20">
        <v>0.88</v>
      </c>
    </row>
    <row r="85" spans="1:11" x14ac:dyDescent="0.2">
      <c r="A85" s="18">
        <v>43805</v>
      </c>
      <c r="B85" s="18">
        <v>43809</v>
      </c>
      <c r="C85" s="19" t="s">
        <v>88</v>
      </c>
      <c r="D85" s="19" t="s">
        <v>43</v>
      </c>
      <c r="E85" s="19" t="s">
        <v>23</v>
      </c>
      <c r="F85" s="19">
        <v>75</v>
      </c>
      <c r="G85" s="19">
        <v>400</v>
      </c>
      <c r="H85" s="19">
        <v>4</v>
      </c>
      <c r="I85" s="19">
        <v>37</v>
      </c>
      <c r="J85" s="19">
        <v>37</v>
      </c>
      <c r="K85" s="20">
        <v>1</v>
      </c>
    </row>
    <row r="86" spans="1:11" x14ac:dyDescent="0.2">
      <c r="A86" s="18">
        <v>43805</v>
      </c>
      <c r="B86" s="18">
        <v>43809</v>
      </c>
      <c r="C86" s="19" t="s">
        <v>90</v>
      </c>
      <c r="D86" s="19" t="s">
        <v>43</v>
      </c>
      <c r="E86" s="19" t="s">
        <v>23</v>
      </c>
      <c r="F86" s="19">
        <v>50</v>
      </c>
      <c r="G86" s="19">
        <v>400</v>
      </c>
      <c r="H86" s="19">
        <v>4</v>
      </c>
      <c r="I86" s="19">
        <v>28</v>
      </c>
      <c r="J86" s="19">
        <v>0</v>
      </c>
      <c r="K86" s="20">
        <v>0</v>
      </c>
    </row>
    <row r="87" spans="1:11" x14ac:dyDescent="0.2">
      <c r="A87" s="18">
        <v>43805</v>
      </c>
      <c r="B87" s="18">
        <v>43809</v>
      </c>
      <c r="C87" s="19" t="s">
        <v>90</v>
      </c>
      <c r="D87" s="19" t="s">
        <v>43</v>
      </c>
      <c r="E87" s="19" t="s">
        <v>23</v>
      </c>
      <c r="F87" s="19">
        <v>75</v>
      </c>
      <c r="G87" s="19">
        <v>400</v>
      </c>
      <c r="H87" s="19">
        <v>4</v>
      </c>
      <c r="I87" s="19">
        <v>33</v>
      </c>
      <c r="J87" s="19">
        <v>0</v>
      </c>
      <c r="K87" s="20">
        <v>0</v>
      </c>
    </row>
    <row r="88" spans="1:11" x14ac:dyDescent="0.2">
      <c r="A88" s="18">
        <v>43805</v>
      </c>
      <c r="B88" s="18">
        <v>43809</v>
      </c>
      <c r="C88" s="19" t="s">
        <v>34</v>
      </c>
      <c r="D88" s="19" t="s">
        <v>43</v>
      </c>
      <c r="E88" s="19" t="s">
        <v>23</v>
      </c>
      <c r="F88" s="19">
        <v>50</v>
      </c>
      <c r="G88" s="19">
        <v>400</v>
      </c>
      <c r="H88" s="19">
        <v>4</v>
      </c>
      <c r="I88" s="19">
        <v>39</v>
      </c>
      <c r="J88" s="19">
        <v>39</v>
      </c>
      <c r="K88" s="20">
        <v>1</v>
      </c>
    </row>
    <row r="89" spans="1:11" x14ac:dyDescent="0.2">
      <c r="A89" s="18">
        <v>43805</v>
      </c>
      <c r="B89" s="18">
        <v>43809</v>
      </c>
      <c r="C89" s="19" t="s">
        <v>34</v>
      </c>
      <c r="D89" s="19" t="s">
        <v>43</v>
      </c>
      <c r="E89" s="19" t="s">
        <v>23</v>
      </c>
      <c r="F89" s="19">
        <v>75</v>
      </c>
      <c r="G89" s="19">
        <v>400</v>
      </c>
      <c r="H89" s="19">
        <v>4</v>
      </c>
      <c r="I89" s="19">
        <v>35</v>
      </c>
      <c r="J89" s="19">
        <v>35</v>
      </c>
      <c r="K89" s="20">
        <v>1</v>
      </c>
    </row>
    <row r="90" spans="1:11" x14ac:dyDescent="0.2">
      <c r="A90" s="18">
        <v>43805</v>
      </c>
      <c r="B90" s="18">
        <v>43809</v>
      </c>
      <c r="C90" s="19" t="s">
        <v>89</v>
      </c>
      <c r="D90" s="19" t="s">
        <v>43</v>
      </c>
      <c r="E90" s="19" t="s">
        <v>23</v>
      </c>
      <c r="F90" s="19">
        <v>50</v>
      </c>
      <c r="G90" s="19">
        <v>400</v>
      </c>
      <c r="H90" s="19">
        <v>4</v>
      </c>
      <c r="I90" s="19">
        <v>0</v>
      </c>
      <c r="J90" s="19">
        <v>0</v>
      </c>
      <c r="K90" s="20">
        <v>0</v>
      </c>
    </row>
    <row r="91" spans="1:11" x14ac:dyDescent="0.2">
      <c r="A91" s="18">
        <v>43805</v>
      </c>
      <c r="B91" s="18">
        <v>43809</v>
      </c>
      <c r="C91" s="19" t="s">
        <v>89</v>
      </c>
      <c r="D91" s="19" t="s">
        <v>43</v>
      </c>
      <c r="E91" s="19" t="s">
        <v>23</v>
      </c>
      <c r="F91" s="19">
        <v>75</v>
      </c>
      <c r="G91" s="19">
        <v>400</v>
      </c>
      <c r="H91" s="19">
        <v>4</v>
      </c>
      <c r="I91" s="19">
        <v>0</v>
      </c>
      <c r="J91" s="19">
        <v>0</v>
      </c>
      <c r="K91" s="20">
        <v>0</v>
      </c>
    </row>
    <row r="92" spans="1:11" x14ac:dyDescent="0.2">
      <c r="A92" s="18">
        <v>43805</v>
      </c>
      <c r="B92" s="18">
        <v>43809</v>
      </c>
      <c r="C92" s="19" t="s">
        <v>91</v>
      </c>
      <c r="D92" s="19" t="s">
        <v>43</v>
      </c>
      <c r="E92" s="19" t="s">
        <v>23</v>
      </c>
      <c r="F92" s="19">
        <v>50</v>
      </c>
      <c r="G92" s="19">
        <v>400</v>
      </c>
      <c r="H92" s="19">
        <v>4</v>
      </c>
      <c r="I92" s="19">
        <v>47</v>
      </c>
      <c r="J92" s="19">
        <v>7</v>
      </c>
      <c r="K92" s="20">
        <v>0.15</v>
      </c>
    </row>
    <row r="93" spans="1:11" x14ac:dyDescent="0.2">
      <c r="A93" s="18">
        <v>43805</v>
      </c>
      <c r="B93" s="18">
        <v>43809</v>
      </c>
      <c r="C93" s="19" t="s">
        <v>91</v>
      </c>
      <c r="D93" s="19" t="s">
        <v>43</v>
      </c>
      <c r="E93" s="19" t="s">
        <v>23</v>
      </c>
      <c r="F93" s="19">
        <v>75</v>
      </c>
      <c r="G93" s="19">
        <v>400</v>
      </c>
      <c r="H93" s="19">
        <v>4</v>
      </c>
      <c r="I93" s="19">
        <v>44</v>
      </c>
      <c r="J93" s="19">
        <v>19</v>
      </c>
      <c r="K93" s="20">
        <v>0.43</v>
      </c>
    </row>
    <row r="94" spans="1:11" x14ac:dyDescent="0.2">
      <c r="A94" s="18">
        <v>43805</v>
      </c>
      <c r="B94" s="18">
        <v>43809</v>
      </c>
      <c r="C94" s="19" t="s">
        <v>92</v>
      </c>
      <c r="D94" s="19" t="s">
        <v>43</v>
      </c>
      <c r="E94" s="19" t="s">
        <v>23</v>
      </c>
      <c r="F94" s="19">
        <v>75</v>
      </c>
      <c r="G94" s="19">
        <v>400</v>
      </c>
      <c r="H94" s="19">
        <v>4</v>
      </c>
      <c r="I94" s="19">
        <v>25</v>
      </c>
      <c r="J94" s="19">
        <v>13</v>
      </c>
      <c r="K94" s="20">
        <v>0.52</v>
      </c>
    </row>
    <row r="95" spans="1:11" x14ac:dyDescent="0.2">
      <c r="A95" s="18">
        <v>43805</v>
      </c>
      <c r="B95" s="18">
        <v>43809</v>
      </c>
      <c r="C95" s="19" t="s">
        <v>92</v>
      </c>
      <c r="D95" s="19" t="s">
        <v>43</v>
      </c>
      <c r="E95" s="19" t="s">
        <v>23</v>
      </c>
      <c r="F95" s="19">
        <v>75</v>
      </c>
      <c r="G95" s="19">
        <v>400</v>
      </c>
      <c r="H95" s="19">
        <v>4</v>
      </c>
      <c r="I95" s="19">
        <v>25</v>
      </c>
      <c r="J95" s="19">
        <v>1</v>
      </c>
      <c r="K95" s="20">
        <v>0.04</v>
      </c>
    </row>
    <row r="96" spans="1:11" x14ac:dyDescent="0.2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</row>
  </sheetData>
  <sortState xmlns:xlrd2="http://schemas.microsoft.com/office/spreadsheetml/2017/richdata2" ref="A52:K96">
    <sortCondition ref="G52:G96"/>
    <sortCondition ref="C52:C96"/>
    <sortCondition ref="F52:F96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C0F5-B594-8648-97B7-411AB6F28C92}">
  <dimension ref="A1:N101"/>
  <sheetViews>
    <sheetView workbookViewId="0">
      <selection activeCell="R52" sqref="R52"/>
    </sheetView>
  </sheetViews>
  <sheetFormatPr baseColWidth="10" defaultColWidth="11" defaultRowHeight="16" x14ac:dyDescent="0.2"/>
  <sheetData>
    <row r="1" spans="1:12" ht="119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/>
    </row>
    <row r="3" spans="1:12" x14ac:dyDescent="0.2">
      <c r="A3" s="2">
        <v>43805</v>
      </c>
      <c r="B3" s="2">
        <v>43811</v>
      </c>
      <c r="C3" s="9">
        <v>796</v>
      </c>
      <c r="D3" t="s">
        <v>43</v>
      </c>
      <c r="E3" t="s">
        <v>23</v>
      </c>
      <c r="F3">
        <v>50</v>
      </c>
      <c r="G3">
        <v>0</v>
      </c>
      <c r="H3">
        <v>6</v>
      </c>
      <c r="I3">
        <v>66</v>
      </c>
      <c r="J3">
        <v>66</v>
      </c>
      <c r="K3" s="3">
        <f>J3/I3</f>
        <v>1</v>
      </c>
      <c r="L3" s="5"/>
    </row>
    <row r="4" spans="1:12" x14ac:dyDescent="0.2">
      <c r="A4" s="2">
        <v>43805</v>
      </c>
      <c r="B4" s="2">
        <v>43811</v>
      </c>
      <c r="C4" s="9">
        <v>796</v>
      </c>
      <c r="D4" t="s">
        <v>43</v>
      </c>
      <c r="E4" t="s">
        <v>23</v>
      </c>
      <c r="F4">
        <v>50</v>
      </c>
      <c r="G4">
        <v>400</v>
      </c>
      <c r="H4">
        <v>6</v>
      </c>
      <c r="I4">
        <v>31</v>
      </c>
      <c r="J4">
        <v>31</v>
      </c>
      <c r="K4" s="3">
        <f t="shared" ref="K4:K6" si="0">J4/I4</f>
        <v>1</v>
      </c>
      <c r="L4" s="6">
        <f>K4-K3</f>
        <v>0</v>
      </c>
    </row>
    <row r="5" spans="1:12" x14ac:dyDescent="0.2">
      <c r="A5" s="2">
        <v>43805</v>
      </c>
      <c r="B5" s="2">
        <v>43811</v>
      </c>
      <c r="C5" s="9">
        <v>796</v>
      </c>
      <c r="D5" t="s">
        <v>43</v>
      </c>
      <c r="E5" t="s">
        <v>23</v>
      </c>
      <c r="F5">
        <v>75</v>
      </c>
      <c r="G5">
        <v>0</v>
      </c>
      <c r="H5">
        <v>6</v>
      </c>
      <c r="I5">
        <v>32</v>
      </c>
      <c r="J5">
        <v>32</v>
      </c>
      <c r="K5" s="3">
        <f t="shared" si="0"/>
        <v>1</v>
      </c>
      <c r="L5" s="5"/>
    </row>
    <row r="6" spans="1:12" x14ac:dyDescent="0.2">
      <c r="A6" s="2">
        <v>43805</v>
      </c>
      <c r="B6" s="2">
        <v>43811</v>
      </c>
      <c r="C6" s="9">
        <v>796</v>
      </c>
      <c r="D6" t="s">
        <v>43</v>
      </c>
      <c r="E6" t="s">
        <v>23</v>
      </c>
      <c r="F6">
        <v>75</v>
      </c>
      <c r="G6">
        <v>400</v>
      </c>
      <c r="H6">
        <v>6</v>
      </c>
      <c r="I6">
        <v>56</v>
      </c>
      <c r="J6">
        <v>56</v>
      </c>
      <c r="K6" s="3">
        <f t="shared" si="0"/>
        <v>1</v>
      </c>
      <c r="L6" s="6">
        <f>K6-K5</f>
        <v>0</v>
      </c>
    </row>
    <row r="7" spans="1:12" x14ac:dyDescent="0.2">
      <c r="A7" s="2">
        <v>43805</v>
      </c>
      <c r="B7" s="2">
        <v>43811</v>
      </c>
      <c r="C7" t="s">
        <v>87</v>
      </c>
      <c r="D7" t="s">
        <v>43</v>
      </c>
      <c r="E7" t="s">
        <v>23</v>
      </c>
      <c r="F7">
        <v>50</v>
      </c>
      <c r="G7">
        <v>0</v>
      </c>
      <c r="H7">
        <v>6</v>
      </c>
      <c r="I7">
        <v>42</v>
      </c>
      <c r="J7">
        <v>42</v>
      </c>
      <c r="K7" s="3">
        <f>J7/I7</f>
        <v>1</v>
      </c>
      <c r="L7" s="5"/>
    </row>
    <row r="8" spans="1:12" x14ac:dyDescent="0.2">
      <c r="A8" s="2">
        <v>43805</v>
      </c>
      <c r="B8" s="2">
        <v>43811</v>
      </c>
      <c r="C8" t="s">
        <v>87</v>
      </c>
      <c r="D8" t="s">
        <v>43</v>
      </c>
      <c r="E8" t="s">
        <v>23</v>
      </c>
      <c r="F8">
        <v>50</v>
      </c>
      <c r="G8">
        <v>400</v>
      </c>
      <c r="H8">
        <v>6</v>
      </c>
      <c r="I8">
        <v>50</v>
      </c>
      <c r="J8">
        <v>50</v>
      </c>
      <c r="K8" s="3">
        <f t="shared" ref="K8:K10" si="1">J8/I8</f>
        <v>1</v>
      </c>
      <c r="L8" s="6">
        <f>K8-K7</f>
        <v>0</v>
      </c>
    </row>
    <row r="9" spans="1:12" x14ac:dyDescent="0.2">
      <c r="A9" s="2">
        <v>43805</v>
      </c>
      <c r="B9" s="2">
        <v>43811</v>
      </c>
      <c r="C9" t="s">
        <v>87</v>
      </c>
      <c r="D9" t="s">
        <v>43</v>
      </c>
      <c r="E9" t="s">
        <v>23</v>
      </c>
      <c r="F9">
        <v>75</v>
      </c>
      <c r="G9">
        <v>0</v>
      </c>
      <c r="H9">
        <v>6</v>
      </c>
      <c r="I9">
        <v>42</v>
      </c>
      <c r="J9">
        <v>42</v>
      </c>
      <c r="K9" s="3">
        <f t="shared" si="1"/>
        <v>1</v>
      </c>
      <c r="L9" s="5"/>
    </row>
    <row r="10" spans="1:12" x14ac:dyDescent="0.2">
      <c r="A10" s="2">
        <v>43805</v>
      </c>
      <c r="B10" s="2">
        <v>43811</v>
      </c>
      <c r="C10" t="s">
        <v>87</v>
      </c>
      <c r="D10" t="s">
        <v>43</v>
      </c>
      <c r="E10" t="s">
        <v>23</v>
      </c>
      <c r="F10">
        <v>75</v>
      </c>
      <c r="G10">
        <v>400</v>
      </c>
      <c r="H10">
        <v>6</v>
      </c>
      <c r="I10">
        <v>40</v>
      </c>
      <c r="J10">
        <v>40</v>
      </c>
      <c r="K10" s="3">
        <f t="shared" si="1"/>
        <v>1</v>
      </c>
      <c r="L10" s="6">
        <f>K10-K9</f>
        <v>0</v>
      </c>
    </row>
    <row r="11" spans="1:12" x14ac:dyDescent="0.2">
      <c r="A11" s="2">
        <v>43805</v>
      </c>
      <c r="B11" s="2">
        <v>43811</v>
      </c>
      <c r="C11" t="s">
        <v>88</v>
      </c>
      <c r="D11" t="s">
        <v>43</v>
      </c>
      <c r="E11" t="s">
        <v>23</v>
      </c>
      <c r="F11">
        <v>50</v>
      </c>
      <c r="G11">
        <v>0</v>
      </c>
      <c r="H11">
        <v>6</v>
      </c>
      <c r="I11">
        <v>31</v>
      </c>
      <c r="J11">
        <v>31</v>
      </c>
      <c r="K11" s="3">
        <f>J11/I11</f>
        <v>1</v>
      </c>
      <c r="L11" s="5"/>
    </row>
    <row r="12" spans="1:12" x14ac:dyDescent="0.2">
      <c r="A12" s="2">
        <v>43805</v>
      </c>
      <c r="B12" s="2">
        <v>43811</v>
      </c>
      <c r="C12" t="s">
        <v>88</v>
      </c>
      <c r="D12" t="s">
        <v>43</v>
      </c>
      <c r="E12" t="s">
        <v>23</v>
      </c>
      <c r="F12">
        <v>50</v>
      </c>
      <c r="G12">
        <v>400</v>
      </c>
      <c r="H12">
        <v>6</v>
      </c>
      <c r="I12">
        <v>35</v>
      </c>
      <c r="J12">
        <v>35</v>
      </c>
      <c r="K12" s="3">
        <f t="shared" ref="K12:K14" si="2">J12/I12</f>
        <v>1</v>
      </c>
      <c r="L12" s="6">
        <f>K12-K11</f>
        <v>0</v>
      </c>
    </row>
    <row r="13" spans="1:12" x14ac:dyDescent="0.2">
      <c r="A13" s="2">
        <v>43805</v>
      </c>
      <c r="B13" s="2">
        <v>43811</v>
      </c>
      <c r="C13" t="s">
        <v>88</v>
      </c>
      <c r="D13" t="s">
        <v>43</v>
      </c>
      <c r="E13" t="s">
        <v>23</v>
      </c>
      <c r="F13">
        <v>75</v>
      </c>
      <c r="G13">
        <v>0</v>
      </c>
      <c r="H13">
        <v>6</v>
      </c>
      <c r="I13">
        <v>36</v>
      </c>
      <c r="J13">
        <v>36</v>
      </c>
      <c r="K13" s="3">
        <f t="shared" si="2"/>
        <v>1</v>
      </c>
      <c r="L13" s="5"/>
    </row>
    <row r="14" spans="1:12" x14ac:dyDescent="0.2">
      <c r="A14" s="2">
        <v>43805</v>
      </c>
      <c r="B14" s="2">
        <v>43811</v>
      </c>
      <c r="C14" t="s">
        <v>88</v>
      </c>
      <c r="D14" t="s">
        <v>43</v>
      </c>
      <c r="E14" t="s">
        <v>23</v>
      </c>
      <c r="F14">
        <v>75</v>
      </c>
      <c r="G14">
        <v>400</v>
      </c>
      <c r="H14">
        <v>6</v>
      </c>
      <c r="I14">
        <v>35</v>
      </c>
      <c r="J14">
        <v>35</v>
      </c>
      <c r="K14" s="3">
        <f t="shared" si="2"/>
        <v>1</v>
      </c>
      <c r="L14" s="6">
        <f>K14-K13</f>
        <v>0</v>
      </c>
    </row>
    <row r="15" spans="1:12" x14ac:dyDescent="0.2">
      <c r="A15" s="2">
        <v>43805</v>
      </c>
      <c r="B15" s="2">
        <v>43811</v>
      </c>
      <c r="C15" t="s">
        <v>89</v>
      </c>
      <c r="D15" t="s">
        <v>43</v>
      </c>
      <c r="E15" t="s">
        <v>23</v>
      </c>
      <c r="F15">
        <v>50</v>
      </c>
      <c r="G15">
        <v>0</v>
      </c>
      <c r="H15">
        <v>6</v>
      </c>
      <c r="I15">
        <v>26</v>
      </c>
      <c r="J15">
        <v>0</v>
      </c>
      <c r="K15" s="3">
        <f>J15/I15</f>
        <v>0</v>
      </c>
      <c r="L15" s="5"/>
    </row>
    <row r="16" spans="1:12" x14ac:dyDescent="0.2">
      <c r="A16" s="2">
        <v>43805</v>
      </c>
      <c r="B16" s="2">
        <v>43811</v>
      </c>
      <c r="C16" t="s">
        <v>89</v>
      </c>
      <c r="D16" t="s">
        <v>43</v>
      </c>
      <c r="E16" t="s">
        <v>23</v>
      </c>
      <c r="F16">
        <v>50</v>
      </c>
      <c r="G16">
        <v>400</v>
      </c>
      <c r="H16">
        <v>6</v>
      </c>
      <c r="I16">
        <v>25</v>
      </c>
      <c r="J16">
        <v>0</v>
      </c>
      <c r="K16" s="3">
        <f>J16/I16</f>
        <v>0</v>
      </c>
      <c r="L16" s="6">
        <f>K16-K15</f>
        <v>0</v>
      </c>
    </row>
    <row r="17" spans="1:12" x14ac:dyDescent="0.2">
      <c r="A17" s="2">
        <v>43805</v>
      </c>
      <c r="B17" s="2">
        <v>43811</v>
      </c>
      <c r="C17" t="s">
        <v>89</v>
      </c>
      <c r="D17" t="s">
        <v>43</v>
      </c>
      <c r="E17" t="s">
        <v>23</v>
      </c>
      <c r="F17">
        <v>75</v>
      </c>
      <c r="G17">
        <v>0</v>
      </c>
      <c r="H17">
        <v>6</v>
      </c>
      <c r="I17">
        <v>24</v>
      </c>
      <c r="J17">
        <v>5</v>
      </c>
      <c r="K17" s="3">
        <f>J17/I17</f>
        <v>0.20833333333333334</v>
      </c>
      <c r="L17" s="5"/>
    </row>
    <row r="18" spans="1:12" x14ac:dyDescent="0.2">
      <c r="A18" s="2">
        <v>43805</v>
      </c>
      <c r="B18" s="2">
        <v>43811</v>
      </c>
      <c r="C18" t="s">
        <v>89</v>
      </c>
      <c r="D18" t="s">
        <v>43</v>
      </c>
      <c r="E18" t="s">
        <v>23</v>
      </c>
      <c r="F18">
        <v>75</v>
      </c>
      <c r="G18">
        <v>400</v>
      </c>
      <c r="H18">
        <v>6</v>
      </c>
      <c r="I18">
        <v>31</v>
      </c>
      <c r="J18">
        <v>0</v>
      </c>
      <c r="K18" s="3">
        <f t="shared" ref="K18" si="3">J18/I18</f>
        <v>0</v>
      </c>
      <c r="L18" s="6">
        <f>K18-K17</f>
        <v>-0.20833333333333334</v>
      </c>
    </row>
    <row r="19" spans="1:12" x14ac:dyDescent="0.2">
      <c r="A19" s="2">
        <v>43805</v>
      </c>
      <c r="B19" s="2">
        <v>43811</v>
      </c>
      <c r="C19" t="s">
        <v>90</v>
      </c>
      <c r="D19" t="s">
        <v>43</v>
      </c>
      <c r="E19" t="s">
        <v>23</v>
      </c>
      <c r="F19">
        <v>50</v>
      </c>
      <c r="G19">
        <v>0</v>
      </c>
      <c r="H19">
        <v>6</v>
      </c>
      <c r="I19">
        <v>37</v>
      </c>
      <c r="J19">
        <v>0</v>
      </c>
      <c r="K19" s="3">
        <f>J19/I19</f>
        <v>0</v>
      </c>
      <c r="L19" s="5"/>
    </row>
    <row r="20" spans="1:12" x14ac:dyDescent="0.2">
      <c r="A20" s="2">
        <v>43805</v>
      </c>
      <c r="B20" s="2">
        <v>43811</v>
      </c>
      <c r="C20" t="s">
        <v>90</v>
      </c>
      <c r="D20" t="s">
        <v>43</v>
      </c>
      <c r="E20" t="s">
        <v>23</v>
      </c>
      <c r="F20">
        <v>50</v>
      </c>
      <c r="G20">
        <v>400</v>
      </c>
      <c r="H20">
        <v>6</v>
      </c>
      <c r="I20">
        <v>49</v>
      </c>
      <c r="J20">
        <v>0</v>
      </c>
      <c r="K20" s="3">
        <f t="shared" ref="K20:K22" si="4">J20/I20</f>
        <v>0</v>
      </c>
      <c r="L20" s="6">
        <f>K20-K19</f>
        <v>0</v>
      </c>
    </row>
    <row r="21" spans="1:12" x14ac:dyDescent="0.2">
      <c r="A21" s="2">
        <v>43805</v>
      </c>
      <c r="B21" s="2">
        <v>43811</v>
      </c>
      <c r="C21" t="s">
        <v>90</v>
      </c>
      <c r="D21" t="s">
        <v>43</v>
      </c>
      <c r="E21" t="s">
        <v>23</v>
      </c>
      <c r="F21">
        <v>75</v>
      </c>
      <c r="G21">
        <v>0</v>
      </c>
      <c r="H21">
        <v>6</v>
      </c>
      <c r="I21">
        <v>37</v>
      </c>
      <c r="J21">
        <v>0</v>
      </c>
      <c r="K21" s="3">
        <f t="shared" si="4"/>
        <v>0</v>
      </c>
      <c r="L21" s="5"/>
    </row>
    <row r="22" spans="1:12" x14ac:dyDescent="0.2">
      <c r="A22" s="2">
        <v>43805</v>
      </c>
      <c r="B22" s="2">
        <v>43811</v>
      </c>
      <c r="C22" t="s">
        <v>90</v>
      </c>
      <c r="D22" t="s">
        <v>43</v>
      </c>
      <c r="E22" t="s">
        <v>23</v>
      </c>
      <c r="F22">
        <v>75</v>
      </c>
      <c r="G22">
        <v>400</v>
      </c>
      <c r="H22">
        <v>6</v>
      </c>
      <c r="I22">
        <v>44</v>
      </c>
      <c r="J22">
        <v>0</v>
      </c>
      <c r="K22" s="3">
        <f t="shared" si="4"/>
        <v>0</v>
      </c>
      <c r="L22" s="6">
        <f>K22-K21</f>
        <v>0</v>
      </c>
    </row>
    <row r="23" spans="1:12" x14ac:dyDescent="0.2">
      <c r="A23" s="2">
        <v>43805</v>
      </c>
      <c r="B23" s="2">
        <v>43811</v>
      </c>
      <c r="C23" t="s">
        <v>91</v>
      </c>
      <c r="D23" t="s">
        <v>43</v>
      </c>
      <c r="E23" t="s">
        <v>23</v>
      </c>
      <c r="F23">
        <v>50</v>
      </c>
      <c r="G23">
        <v>0</v>
      </c>
      <c r="H23">
        <v>6</v>
      </c>
      <c r="I23">
        <v>63</v>
      </c>
      <c r="J23">
        <v>33</v>
      </c>
      <c r="K23" s="3">
        <f>J23/I23</f>
        <v>0.52380952380952384</v>
      </c>
      <c r="L23" s="5"/>
    </row>
    <row r="24" spans="1:12" x14ac:dyDescent="0.2">
      <c r="A24" s="2">
        <v>43805</v>
      </c>
      <c r="B24" s="2">
        <v>43811</v>
      </c>
      <c r="C24" t="s">
        <v>91</v>
      </c>
      <c r="D24" t="s">
        <v>43</v>
      </c>
      <c r="E24" t="s">
        <v>23</v>
      </c>
      <c r="F24">
        <v>50</v>
      </c>
      <c r="G24">
        <v>400</v>
      </c>
      <c r="H24">
        <v>6</v>
      </c>
      <c r="I24">
        <v>37</v>
      </c>
      <c r="J24">
        <v>16</v>
      </c>
      <c r="K24" s="3">
        <f t="shared" ref="K24:K26" si="5">J24/I24</f>
        <v>0.43243243243243246</v>
      </c>
      <c r="L24" s="6">
        <f>K24-K23</f>
        <v>-9.137709137709138E-2</v>
      </c>
    </row>
    <row r="25" spans="1:12" x14ac:dyDescent="0.2">
      <c r="A25" s="2">
        <v>43805</v>
      </c>
      <c r="B25" s="2">
        <v>43811</v>
      </c>
      <c r="C25" t="s">
        <v>91</v>
      </c>
      <c r="D25" t="s">
        <v>43</v>
      </c>
      <c r="E25" t="s">
        <v>23</v>
      </c>
      <c r="F25">
        <v>75</v>
      </c>
      <c r="G25">
        <v>0</v>
      </c>
      <c r="H25">
        <v>6</v>
      </c>
      <c r="I25">
        <v>54</v>
      </c>
      <c r="J25">
        <v>30</v>
      </c>
      <c r="K25" s="3">
        <f t="shared" si="5"/>
        <v>0.55555555555555558</v>
      </c>
      <c r="L25" s="5"/>
    </row>
    <row r="26" spans="1:12" x14ac:dyDescent="0.2">
      <c r="A26" s="2">
        <v>43805</v>
      </c>
      <c r="B26" s="2">
        <v>43811</v>
      </c>
      <c r="C26" t="s">
        <v>91</v>
      </c>
      <c r="D26" t="s">
        <v>43</v>
      </c>
      <c r="E26" t="s">
        <v>23</v>
      </c>
      <c r="F26">
        <v>75</v>
      </c>
      <c r="G26">
        <v>400</v>
      </c>
      <c r="H26">
        <v>6</v>
      </c>
      <c r="I26">
        <v>44</v>
      </c>
      <c r="J26">
        <v>18</v>
      </c>
      <c r="K26" s="3">
        <f t="shared" si="5"/>
        <v>0.40909090909090912</v>
      </c>
      <c r="L26" s="6">
        <f>K26-K25</f>
        <v>-0.14646464646464646</v>
      </c>
    </row>
    <row r="27" spans="1:12" x14ac:dyDescent="0.2">
      <c r="A27" s="2">
        <v>43805</v>
      </c>
      <c r="B27" s="2">
        <v>43811</v>
      </c>
      <c r="C27" t="s">
        <v>92</v>
      </c>
      <c r="D27" t="s">
        <v>43</v>
      </c>
      <c r="E27" t="s">
        <v>23</v>
      </c>
      <c r="F27">
        <v>75</v>
      </c>
      <c r="G27">
        <v>0</v>
      </c>
      <c r="H27">
        <v>6</v>
      </c>
      <c r="I27">
        <v>39</v>
      </c>
      <c r="J27">
        <v>28</v>
      </c>
      <c r="K27" s="3">
        <f>J27/I27</f>
        <v>0.71794871794871795</v>
      </c>
      <c r="L27" s="5"/>
    </row>
    <row r="28" spans="1:12" x14ac:dyDescent="0.2">
      <c r="A28" s="2">
        <v>43805</v>
      </c>
      <c r="B28" s="2">
        <v>43811</v>
      </c>
      <c r="C28" t="s">
        <v>92</v>
      </c>
      <c r="D28" t="s">
        <v>43</v>
      </c>
      <c r="E28" t="s">
        <v>23</v>
      </c>
      <c r="F28">
        <v>75</v>
      </c>
      <c r="G28">
        <v>400</v>
      </c>
      <c r="H28">
        <v>6</v>
      </c>
      <c r="I28">
        <v>38</v>
      </c>
      <c r="J28">
        <v>38</v>
      </c>
      <c r="K28" s="3">
        <f t="shared" ref="K28:K30" si="6">J28/I28</f>
        <v>1</v>
      </c>
      <c r="L28" s="6">
        <f>K28-K27</f>
        <v>0.28205128205128205</v>
      </c>
    </row>
    <row r="29" spans="1:12" x14ac:dyDescent="0.2">
      <c r="A29" s="2">
        <v>43805</v>
      </c>
      <c r="B29" s="2">
        <v>43811</v>
      </c>
      <c r="C29" t="s">
        <v>92</v>
      </c>
      <c r="D29" t="s">
        <v>43</v>
      </c>
      <c r="E29" t="s">
        <v>23</v>
      </c>
      <c r="F29">
        <v>75</v>
      </c>
      <c r="G29">
        <v>0</v>
      </c>
      <c r="H29">
        <v>6</v>
      </c>
      <c r="I29">
        <v>42</v>
      </c>
      <c r="J29">
        <v>38</v>
      </c>
      <c r="K29" s="3">
        <f t="shared" si="6"/>
        <v>0.90476190476190477</v>
      </c>
      <c r="L29" s="5"/>
    </row>
    <row r="30" spans="1:12" x14ac:dyDescent="0.2">
      <c r="A30" s="2">
        <v>43805</v>
      </c>
      <c r="B30" s="2">
        <v>43811</v>
      </c>
      <c r="C30" t="s">
        <v>92</v>
      </c>
      <c r="D30" t="s">
        <v>43</v>
      </c>
      <c r="E30" t="s">
        <v>23</v>
      </c>
      <c r="F30">
        <v>75</v>
      </c>
      <c r="G30">
        <v>400</v>
      </c>
      <c r="H30">
        <v>6</v>
      </c>
      <c r="I30">
        <v>23</v>
      </c>
      <c r="J30">
        <v>23</v>
      </c>
      <c r="K30" s="3">
        <f t="shared" si="6"/>
        <v>1</v>
      </c>
      <c r="L30" s="6">
        <f>K30-K29</f>
        <v>9.5238095238095233E-2</v>
      </c>
    </row>
    <row r="31" spans="1:12" x14ac:dyDescent="0.2">
      <c r="A31" s="2">
        <v>43805</v>
      </c>
      <c r="B31" s="2">
        <v>43811</v>
      </c>
      <c r="C31" t="s">
        <v>34</v>
      </c>
      <c r="D31" t="s">
        <v>43</v>
      </c>
      <c r="E31" t="s">
        <v>23</v>
      </c>
      <c r="F31">
        <v>50</v>
      </c>
      <c r="G31">
        <v>0</v>
      </c>
      <c r="H31">
        <v>6</v>
      </c>
      <c r="I31">
        <v>38</v>
      </c>
      <c r="J31">
        <v>38</v>
      </c>
      <c r="K31" s="3">
        <f>J31/I31</f>
        <v>1</v>
      </c>
      <c r="L31" s="5"/>
    </row>
    <row r="32" spans="1:12" x14ac:dyDescent="0.2">
      <c r="A32" s="2">
        <v>43805</v>
      </c>
      <c r="B32" s="2">
        <v>43811</v>
      </c>
      <c r="C32" t="s">
        <v>34</v>
      </c>
      <c r="D32" t="s">
        <v>43</v>
      </c>
      <c r="E32" t="s">
        <v>23</v>
      </c>
      <c r="F32">
        <v>50</v>
      </c>
      <c r="G32">
        <v>400</v>
      </c>
      <c r="H32">
        <v>6</v>
      </c>
      <c r="I32">
        <v>43</v>
      </c>
      <c r="J32">
        <v>43</v>
      </c>
      <c r="K32" s="3">
        <f t="shared" ref="K32:K34" si="7">J32/I32</f>
        <v>1</v>
      </c>
      <c r="L32" s="6">
        <f>K32-K31</f>
        <v>0</v>
      </c>
    </row>
    <row r="33" spans="1:12" x14ac:dyDescent="0.2">
      <c r="A33" s="2">
        <v>43805</v>
      </c>
      <c r="B33" s="2">
        <v>43811</v>
      </c>
      <c r="C33" t="s">
        <v>34</v>
      </c>
      <c r="D33" t="s">
        <v>43</v>
      </c>
      <c r="E33" t="s">
        <v>23</v>
      </c>
      <c r="F33">
        <v>75</v>
      </c>
      <c r="G33">
        <v>0</v>
      </c>
      <c r="H33">
        <v>6</v>
      </c>
      <c r="I33">
        <v>27</v>
      </c>
      <c r="J33">
        <v>27</v>
      </c>
      <c r="K33" s="3">
        <f t="shared" si="7"/>
        <v>1</v>
      </c>
      <c r="L33" s="5"/>
    </row>
    <row r="34" spans="1:12" x14ac:dyDescent="0.2">
      <c r="A34" s="2">
        <v>43805</v>
      </c>
      <c r="B34" s="2">
        <v>43811</v>
      </c>
      <c r="C34" t="s">
        <v>34</v>
      </c>
      <c r="D34" t="s">
        <v>43</v>
      </c>
      <c r="E34" t="s">
        <v>23</v>
      </c>
      <c r="F34">
        <v>75</v>
      </c>
      <c r="G34">
        <v>400</v>
      </c>
      <c r="H34">
        <v>6</v>
      </c>
      <c r="I34">
        <v>33</v>
      </c>
      <c r="J34">
        <v>33</v>
      </c>
      <c r="K34" s="3">
        <f t="shared" si="7"/>
        <v>1</v>
      </c>
      <c r="L34" s="6">
        <f>K34-K33</f>
        <v>0</v>
      </c>
    </row>
    <row r="35" spans="1:12" x14ac:dyDescent="0.2">
      <c r="A35" s="2">
        <v>43805</v>
      </c>
      <c r="B35" s="2">
        <v>43811</v>
      </c>
      <c r="C35" t="s">
        <v>93</v>
      </c>
      <c r="D35" t="s">
        <v>43</v>
      </c>
      <c r="E35" t="s">
        <v>23</v>
      </c>
      <c r="F35">
        <v>50</v>
      </c>
      <c r="G35">
        <v>0</v>
      </c>
      <c r="H35">
        <v>6</v>
      </c>
      <c r="I35">
        <v>24</v>
      </c>
      <c r="J35">
        <v>24</v>
      </c>
      <c r="K35" s="3">
        <f>J35/I35</f>
        <v>1</v>
      </c>
      <c r="L35" s="5"/>
    </row>
    <row r="36" spans="1:12" x14ac:dyDescent="0.2">
      <c r="A36" s="2">
        <v>43805</v>
      </c>
      <c r="B36" s="2">
        <v>43811</v>
      </c>
      <c r="C36" t="s">
        <v>93</v>
      </c>
      <c r="D36" t="s">
        <v>43</v>
      </c>
      <c r="E36" t="s">
        <v>23</v>
      </c>
      <c r="F36">
        <v>50</v>
      </c>
      <c r="G36">
        <v>400</v>
      </c>
      <c r="H36">
        <v>6</v>
      </c>
      <c r="I36">
        <v>27</v>
      </c>
      <c r="J36">
        <v>27</v>
      </c>
      <c r="K36" s="3">
        <f t="shared" ref="K36:K38" si="8">J36/I36</f>
        <v>1</v>
      </c>
      <c r="L36" s="6">
        <f>K36-K35</f>
        <v>0</v>
      </c>
    </row>
    <row r="37" spans="1:12" x14ac:dyDescent="0.2">
      <c r="A37" s="2">
        <v>43805</v>
      </c>
      <c r="B37" s="2">
        <v>43811</v>
      </c>
      <c r="C37" t="s">
        <v>93</v>
      </c>
      <c r="D37" t="s">
        <v>43</v>
      </c>
      <c r="E37" t="s">
        <v>23</v>
      </c>
      <c r="F37">
        <v>75</v>
      </c>
      <c r="G37">
        <v>0</v>
      </c>
      <c r="H37">
        <v>6</v>
      </c>
      <c r="I37">
        <v>28</v>
      </c>
      <c r="J37">
        <v>28</v>
      </c>
      <c r="K37" s="3">
        <f t="shared" si="8"/>
        <v>1</v>
      </c>
      <c r="L37" s="5"/>
    </row>
    <row r="38" spans="1:12" x14ac:dyDescent="0.2">
      <c r="A38" s="2">
        <v>43805</v>
      </c>
      <c r="B38" s="2">
        <v>43811</v>
      </c>
      <c r="C38" t="s">
        <v>93</v>
      </c>
      <c r="D38" t="s">
        <v>43</v>
      </c>
      <c r="E38" t="s">
        <v>23</v>
      </c>
      <c r="F38">
        <v>75</v>
      </c>
      <c r="G38">
        <v>400</v>
      </c>
      <c r="H38">
        <v>6</v>
      </c>
      <c r="I38">
        <v>27</v>
      </c>
      <c r="J38">
        <v>27</v>
      </c>
      <c r="K38" s="3">
        <f t="shared" si="8"/>
        <v>1</v>
      </c>
      <c r="L38" s="6">
        <f>K38-K37</f>
        <v>0</v>
      </c>
    </row>
    <row r="39" spans="1:12" x14ac:dyDescent="0.2">
      <c r="A39" s="2">
        <v>43805</v>
      </c>
      <c r="B39" s="2">
        <v>43811</v>
      </c>
      <c r="C39" t="s">
        <v>28</v>
      </c>
      <c r="D39" t="s">
        <v>43</v>
      </c>
      <c r="E39" t="s">
        <v>23</v>
      </c>
      <c r="F39">
        <v>50</v>
      </c>
      <c r="G39">
        <v>0</v>
      </c>
      <c r="H39">
        <v>6</v>
      </c>
      <c r="I39">
        <v>38</v>
      </c>
      <c r="J39">
        <v>38</v>
      </c>
      <c r="K39" s="3">
        <f>J39/I39</f>
        <v>1</v>
      </c>
      <c r="L39" s="5"/>
    </row>
    <row r="40" spans="1:12" x14ac:dyDescent="0.2">
      <c r="A40" s="2">
        <v>43805</v>
      </c>
      <c r="B40" s="2">
        <v>43811</v>
      </c>
      <c r="C40" t="s">
        <v>28</v>
      </c>
      <c r="D40" t="s">
        <v>43</v>
      </c>
      <c r="E40" t="s">
        <v>23</v>
      </c>
      <c r="F40">
        <v>50</v>
      </c>
      <c r="G40">
        <v>400</v>
      </c>
      <c r="H40">
        <v>6</v>
      </c>
      <c r="I40">
        <v>37</v>
      </c>
      <c r="J40">
        <v>36</v>
      </c>
      <c r="K40" s="3">
        <f t="shared" ref="K40:K42" si="9">J40/I40</f>
        <v>0.97297297297297303</v>
      </c>
      <c r="L40" s="6">
        <f>K40-K39</f>
        <v>-2.7027027027026973E-2</v>
      </c>
    </row>
    <row r="41" spans="1:12" x14ac:dyDescent="0.2">
      <c r="A41" s="2">
        <v>43805</v>
      </c>
      <c r="B41" s="2">
        <v>43811</v>
      </c>
      <c r="C41" t="s">
        <v>28</v>
      </c>
      <c r="D41" t="s">
        <v>43</v>
      </c>
      <c r="E41" t="s">
        <v>23</v>
      </c>
      <c r="F41">
        <v>75</v>
      </c>
      <c r="G41">
        <v>0</v>
      </c>
      <c r="H41">
        <v>6</v>
      </c>
      <c r="I41">
        <v>40</v>
      </c>
      <c r="J41">
        <v>40</v>
      </c>
      <c r="K41" s="3">
        <f t="shared" si="9"/>
        <v>1</v>
      </c>
      <c r="L41" s="5"/>
    </row>
    <row r="42" spans="1:12" x14ac:dyDescent="0.2">
      <c r="A42" s="2">
        <v>43805</v>
      </c>
      <c r="B42" s="2">
        <v>43811</v>
      </c>
      <c r="C42" t="s">
        <v>28</v>
      </c>
      <c r="D42" t="s">
        <v>43</v>
      </c>
      <c r="E42" t="s">
        <v>23</v>
      </c>
      <c r="F42">
        <v>75</v>
      </c>
      <c r="G42">
        <v>400</v>
      </c>
      <c r="H42">
        <v>6</v>
      </c>
      <c r="I42">
        <v>53</v>
      </c>
      <c r="J42">
        <v>53</v>
      </c>
      <c r="K42" s="3">
        <f t="shared" si="9"/>
        <v>1</v>
      </c>
      <c r="L42" s="6">
        <f>K42-K41</f>
        <v>0</v>
      </c>
    </row>
    <row r="43" spans="1:12" x14ac:dyDescent="0.2">
      <c r="A43" s="2">
        <v>43805</v>
      </c>
      <c r="B43" s="2">
        <v>43811</v>
      </c>
      <c r="C43" t="s">
        <v>94</v>
      </c>
      <c r="D43" t="s">
        <v>43</v>
      </c>
      <c r="E43" t="s">
        <v>23</v>
      </c>
      <c r="F43">
        <v>50</v>
      </c>
      <c r="G43">
        <v>0</v>
      </c>
      <c r="H43">
        <v>6</v>
      </c>
      <c r="I43">
        <v>44</v>
      </c>
      <c r="J43">
        <v>40</v>
      </c>
      <c r="K43" s="3">
        <f>J43/I43</f>
        <v>0.90909090909090906</v>
      </c>
      <c r="L43" s="5"/>
    </row>
    <row r="44" spans="1:12" x14ac:dyDescent="0.2">
      <c r="A44" s="2">
        <v>43805</v>
      </c>
      <c r="B44" s="2">
        <v>43811</v>
      </c>
      <c r="C44" t="s">
        <v>94</v>
      </c>
      <c r="D44" t="s">
        <v>43</v>
      </c>
      <c r="E44" t="s">
        <v>23</v>
      </c>
      <c r="F44">
        <v>50</v>
      </c>
      <c r="G44">
        <v>400</v>
      </c>
      <c r="H44">
        <v>6</v>
      </c>
      <c r="I44">
        <v>42</v>
      </c>
      <c r="J44">
        <v>42</v>
      </c>
      <c r="K44" s="3">
        <f t="shared" ref="K44:K46" si="10">J44/I44</f>
        <v>1</v>
      </c>
      <c r="L44" s="6">
        <f>K44-K43</f>
        <v>9.0909090909090939E-2</v>
      </c>
    </row>
    <row r="45" spans="1:12" x14ac:dyDescent="0.2">
      <c r="A45" s="2">
        <v>43805</v>
      </c>
      <c r="B45" s="2">
        <v>43811</v>
      </c>
      <c r="C45" t="s">
        <v>94</v>
      </c>
      <c r="D45" t="s">
        <v>43</v>
      </c>
      <c r="E45" t="s">
        <v>23</v>
      </c>
      <c r="F45">
        <v>75</v>
      </c>
      <c r="G45">
        <v>0</v>
      </c>
      <c r="H45">
        <v>6</v>
      </c>
      <c r="I45">
        <v>40</v>
      </c>
      <c r="J45">
        <v>40</v>
      </c>
      <c r="K45" s="3">
        <f t="shared" si="10"/>
        <v>1</v>
      </c>
      <c r="L45" s="5"/>
    </row>
    <row r="46" spans="1:12" x14ac:dyDescent="0.2">
      <c r="A46" s="2">
        <v>43805</v>
      </c>
      <c r="B46" s="2">
        <v>43811</v>
      </c>
      <c r="C46" t="s">
        <v>94</v>
      </c>
      <c r="D46" t="s">
        <v>43</v>
      </c>
      <c r="E46" t="s">
        <v>23</v>
      </c>
      <c r="F46">
        <v>75</v>
      </c>
      <c r="G46">
        <v>400</v>
      </c>
      <c r="H46">
        <v>6</v>
      </c>
      <c r="I46">
        <v>43</v>
      </c>
      <c r="J46">
        <v>43</v>
      </c>
      <c r="K46" s="3">
        <f t="shared" si="10"/>
        <v>1</v>
      </c>
      <c r="L46" s="6">
        <f>K46-K45</f>
        <v>0</v>
      </c>
    </row>
    <row r="50" spans="1:14" x14ac:dyDescent="0.2">
      <c r="A50" s="2">
        <v>43805</v>
      </c>
      <c r="B50" s="2">
        <v>43818</v>
      </c>
      <c r="C50" t="s">
        <v>89</v>
      </c>
      <c r="D50" t="s">
        <v>43</v>
      </c>
      <c r="E50" t="s">
        <v>23</v>
      </c>
      <c r="F50">
        <v>50</v>
      </c>
      <c r="G50">
        <v>0</v>
      </c>
      <c r="H50">
        <v>13</v>
      </c>
      <c r="I50">
        <v>34</v>
      </c>
      <c r="J50">
        <v>34</v>
      </c>
      <c r="K50" s="3">
        <f>J50/I50</f>
        <v>1</v>
      </c>
      <c r="L50" s="5"/>
      <c r="N50" t="s">
        <v>95</v>
      </c>
    </row>
    <row r="51" spans="1:14" x14ac:dyDescent="0.2">
      <c r="A51" s="2">
        <v>43805</v>
      </c>
      <c r="B51" s="2">
        <v>43818</v>
      </c>
      <c r="C51" t="s">
        <v>89</v>
      </c>
      <c r="D51" t="s">
        <v>43</v>
      </c>
      <c r="E51" t="s">
        <v>23</v>
      </c>
      <c r="F51">
        <v>50</v>
      </c>
      <c r="G51">
        <v>400</v>
      </c>
      <c r="H51">
        <v>13</v>
      </c>
      <c r="I51">
        <v>27</v>
      </c>
      <c r="J51">
        <v>27</v>
      </c>
      <c r="K51" s="3">
        <f>J51/I51</f>
        <v>1</v>
      </c>
      <c r="L51" s="6">
        <f>K51-K50</f>
        <v>0</v>
      </c>
    </row>
    <row r="52" spans="1:14" x14ac:dyDescent="0.2">
      <c r="A52" s="2">
        <v>43805</v>
      </c>
      <c r="B52" s="2">
        <v>43818</v>
      </c>
      <c r="C52" t="s">
        <v>89</v>
      </c>
      <c r="D52" t="s">
        <v>43</v>
      </c>
      <c r="E52" t="s">
        <v>23</v>
      </c>
      <c r="F52">
        <v>75</v>
      </c>
      <c r="G52">
        <v>0</v>
      </c>
      <c r="H52">
        <v>13</v>
      </c>
      <c r="I52">
        <v>35</v>
      </c>
      <c r="J52">
        <v>35</v>
      </c>
      <c r="K52" s="3">
        <f>J52/I52</f>
        <v>1</v>
      </c>
      <c r="L52" s="5"/>
    </row>
    <row r="53" spans="1:14" x14ac:dyDescent="0.2">
      <c r="A53" s="2">
        <v>43805</v>
      </c>
      <c r="B53" s="2">
        <v>43818</v>
      </c>
      <c r="C53" t="s">
        <v>89</v>
      </c>
      <c r="D53" t="s">
        <v>43</v>
      </c>
      <c r="E53" t="s">
        <v>23</v>
      </c>
      <c r="F53">
        <v>75</v>
      </c>
      <c r="G53">
        <v>400</v>
      </c>
      <c r="H53">
        <v>13</v>
      </c>
      <c r="I53">
        <v>27</v>
      </c>
      <c r="J53">
        <v>27</v>
      </c>
      <c r="K53" s="3">
        <f t="shared" ref="K53" si="11">J53/I53</f>
        <v>1</v>
      </c>
      <c r="L53" s="6">
        <f>K53-K52</f>
        <v>0</v>
      </c>
    </row>
    <row r="56" spans="1:14" x14ac:dyDescent="0.2">
      <c r="A56" t="s">
        <v>17</v>
      </c>
    </row>
    <row r="58" spans="1:14" x14ac:dyDescent="0.2">
      <c r="A58" s="18">
        <v>43805</v>
      </c>
      <c r="B58" s="18">
        <v>43811</v>
      </c>
      <c r="C58" s="23">
        <v>796</v>
      </c>
      <c r="D58" s="19" t="s">
        <v>43</v>
      </c>
      <c r="E58" s="19" t="s">
        <v>23</v>
      </c>
      <c r="F58" s="19">
        <v>50</v>
      </c>
      <c r="G58" s="19">
        <v>0</v>
      </c>
      <c r="H58" s="19">
        <v>6</v>
      </c>
      <c r="I58" s="19">
        <v>66</v>
      </c>
      <c r="J58" s="19">
        <v>66</v>
      </c>
      <c r="K58" s="20">
        <v>1</v>
      </c>
    </row>
    <row r="59" spans="1:14" x14ac:dyDescent="0.2">
      <c r="A59" s="18">
        <v>43805</v>
      </c>
      <c r="B59" s="18">
        <v>43811</v>
      </c>
      <c r="C59" s="23">
        <v>796</v>
      </c>
      <c r="D59" s="19" t="s">
        <v>43</v>
      </c>
      <c r="E59" s="19" t="s">
        <v>23</v>
      </c>
      <c r="F59" s="19">
        <v>75</v>
      </c>
      <c r="G59" s="19">
        <v>0</v>
      </c>
      <c r="H59" s="19">
        <v>6</v>
      </c>
      <c r="I59" s="19">
        <v>32</v>
      </c>
      <c r="J59" s="19">
        <v>32</v>
      </c>
      <c r="K59" s="20">
        <v>1</v>
      </c>
    </row>
    <row r="60" spans="1:14" x14ac:dyDescent="0.2">
      <c r="A60" s="18">
        <v>43805</v>
      </c>
      <c r="B60" s="18">
        <v>43811</v>
      </c>
      <c r="C60" s="19" t="s">
        <v>94</v>
      </c>
      <c r="D60" s="19" t="s">
        <v>43</v>
      </c>
      <c r="E60" s="19" t="s">
        <v>23</v>
      </c>
      <c r="F60" s="19">
        <v>50</v>
      </c>
      <c r="G60" s="19">
        <v>0</v>
      </c>
      <c r="H60" s="19">
        <v>6</v>
      </c>
      <c r="I60" s="19">
        <v>44</v>
      </c>
      <c r="J60" s="19">
        <v>40</v>
      </c>
      <c r="K60" s="20">
        <v>0.91</v>
      </c>
    </row>
    <row r="61" spans="1:14" x14ac:dyDescent="0.2">
      <c r="A61" s="18">
        <v>43805</v>
      </c>
      <c r="B61" s="18">
        <v>43811</v>
      </c>
      <c r="C61" s="19" t="s">
        <v>94</v>
      </c>
      <c r="D61" s="19" t="s">
        <v>43</v>
      </c>
      <c r="E61" s="19" t="s">
        <v>23</v>
      </c>
      <c r="F61" s="19">
        <v>75</v>
      </c>
      <c r="G61" s="19">
        <v>0</v>
      </c>
      <c r="H61" s="19">
        <v>6</v>
      </c>
      <c r="I61" s="19">
        <v>40</v>
      </c>
      <c r="J61" s="19">
        <v>40</v>
      </c>
      <c r="K61" s="20">
        <v>1</v>
      </c>
    </row>
    <row r="62" spans="1:14" x14ac:dyDescent="0.2">
      <c r="A62" s="18">
        <v>43805</v>
      </c>
      <c r="B62" s="18">
        <v>43811</v>
      </c>
      <c r="C62" s="19" t="s">
        <v>93</v>
      </c>
      <c r="D62" s="19" t="s">
        <v>43</v>
      </c>
      <c r="E62" s="19" t="s">
        <v>23</v>
      </c>
      <c r="F62" s="19">
        <v>50</v>
      </c>
      <c r="G62" s="19">
        <v>0</v>
      </c>
      <c r="H62" s="19">
        <v>6</v>
      </c>
      <c r="I62" s="19">
        <v>24</v>
      </c>
      <c r="J62" s="19">
        <v>24</v>
      </c>
      <c r="K62" s="20">
        <v>1</v>
      </c>
    </row>
    <row r="63" spans="1:14" x14ac:dyDescent="0.2">
      <c r="A63" s="18">
        <v>43805</v>
      </c>
      <c r="B63" s="18">
        <v>43811</v>
      </c>
      <c r="C63" s="19" t="s">
        <v>93</v>
      </c>
      <c r="D63" s="19" t="s">
        <v>43</v>
      </c>
      <c r="E63" s="19" t="s">
        <v>23</v>
      </c>
      <c r="F63" s="19">
        <v>75</v>
      </c>
      <c r="G63" s="19">
        <v>0</v>
      </c>
      <c r="H63" s="19">
        <v>6</v>
      </c>
      <c r="I63" s="19">
        <v>28</v>
      </c>
      <c r="J63" s="19">
        <v>28</v>
      </c>
      <c r="K63" s="20">
        <v>1</v>
      </c>
    </row>
    <row r="64" spans="1:14" x14ac:dyDescent="0.2">
      <c r="A64" s="18">
        <v>43805</v>
      </c>
      <c r="B64" s="18">
        <v>43811</v>
      </c>
      <c r="C64" s="19" t="s">
        <v>28</v>
      </c>
      <c r="D64" s="19" t="s">
        <v>43</v>
      </c>
      <c r="E64" s="19" t="s">
        <v>23</v>
      </c>
      <c r="F64" s="19">
        <v>50</v>
      </c>
      <c r="G64" s="19">
        <v>0</v>
      </c>
      <c r="H64" s="19">
        <v>6</v>
      </c>
      <c r="I64" s="19">
        <v>38</v>
      </c>
      <c r="J64" s="19">
        <v>38</v>
      </c>
      <c r="K64" s="20">
        <v>1</v>
      </c>
    </row>
    <row r="65" spans="1:11" x14ac:dyDescent="0.2">
      <c r="A65" s="18">
        <v>43805</v>
      </c>
      <c r="B65" s="18">
        <v>43811</v>
      </c>
      <c r="C65" s="19" t="s">
        <v>28</v>
      </c>
      <c r="D65" s="19" t="s">
        <v>43</v>
      </c>
      <c r="E65" s="19" t="s">
        <v>23</v>
      </c>
      <c r="F65" s="19">
        <v>75</v>
      </c>
      <c r="G65" s="19">
        <v>0</v>
      </c>
      <c r="H65" s="19">
        <v>6</v>
      </c>
      <c r="I65" s="19">
        <v>40</v>
      </c>
      <c r="J65" s="19">
        <v>40</v>
      </c>
      <c r="K65" s="20">
        <v>1</v>
      </c>
    </row>
    <row r="66" spans="1:11" x14ac:dyDescent="0.2">
      <c r="A66" s="18">
        <v>43805</v>
      </c>
      <c r="B66" s="18">
        <v>43811</v>
      </c>
      <c r="C66" s="19" t="s">
        <v>87</v>
      </c>
      <c r="D66" s="19" t="s">
        <v>43</v>
      </c>
      <c r="E66" s="19" t="s">
        <v>23</v>
      </c>
      <c r="F66" s="19">
        <v>50</v>
      </c>
      <c r="G66" s="19">
        <v>0</v>
      </c>
      <c r="H66" s="19">
        <v>6</v>
      </c>
      <c r="I66" s="19">
        <v>42</v>
      </c>
      <c r="J66" s="19">
        <v>42</v>
      </c>
      <c r="K66" s="20">
        <v>1</v>
      </c>
    </row>
    <row r="67" spans="1:11" x14ac:dyDescent="0.2">
      <c r="A67" s="18">
        <v>43805</v>
      </c>
      <c r="B67" s="18">
        <v>43811</v>
      </c>
      <c r="C67" s="19" t="s">
        <v>87</v>
      </c>
      <c r="D67" s="19" t="s">
        <v>43</v>
      </c>
      <c r="E67" s="19" t="s">
        <v>23</v>
      </c>
      <c r="F67" s="19">
        <v>75</v>
      </c>
      <c r="G67" s="19">
        <v>0</v>
      </c>
      <c r="H67" s="19">
        <v>6</v>
      </c>
      <c r="I67" s="19">
        <v>42</v>
      </c>
      <c r="J67" s="19">
        <v>42</v>
      </c>
      <c r="K67" s="20">
        <v>1</v>
      </c>
    </row>
    <row r="68" spans="1:11" x14ac:dyDescent="0.2">
      <c r="A68" s="18">
        <v>43805</v>
      </c>
      <c r="B68" s="18">
        <v>43811</v>
      </c>
      <c r="C68" s="19" t="s">
        <v>88</v>
      </c>
      <c r="D68" s="19" t="s">
        <v>43</v>
      </c>
      <c r="E68" s="19" t="s">
        <v>23</v>
      </c>
      <c r="F68" s="19">
        <v>50</v>
      </c>
      <c r="G68" s="19">
        <v>0</v>
      </c>
      <c r="H68" s="19">
        <v>6</v>
      </c>
      <c r="I68" s="19">
        <v>31</v>
      </c>
      <c r="J68" s="19">
        <v>31</v>
      </c>
      <c r="K68" s="20">
        <v>1</v>
      </c>
    </row>
    <row r="69" spans="1:11" x14ac:dyDescent="0.2">
      <c r="A69" s="18">
        <v>43805</v>
      </c>
      <c r="B69" s="18">
        <v>43811</v>
      </c>
      <c r="C69" s="19" t="s">
        <v>88</v>
      </c>
      <c r="D69" s="19" t="s">
        <v>43</v>
      </c>
      <c r="E69" s="19" t="s">
        <v>23</v>
      </c>
      <c r="F69" s="19">
        <v>75</v>
      </c>
      <c r="G69" s="19">
        <v>0</v>
      </c>
      <c r="H69" s="19">
        <v>6</v>
      </c>
      <c r="I69" s="19">
        <v>36</v>
      </c>
      <c r="J69" s="19">
        <v>36</v>
      </c>
      <c r="K69" s="20">
        <v>1</v>
      </c>
    </row>
    <row r="70" spans="1:11" x14ac:dyDescent="0.2">
      <c r="A70" s="18">
        <v>43805</v>
      </c>
      <c r="B70" s="18">
        <v>43811</v>
      </c>
      <c r="C70" s="19" t="s">
        <v>90</v>
      </c>
      <c r="D70" s="19" t="s">
        <v>43</v>
      </c>
      <c r="E70" s="19" t="s">
        <v>23</v>
      </c>
      <c r="F70" s="19">
        <v>50</v>
      </c>
      <c r="G70" s="19">
        <v>0</v>
      </c>
      <c r="H70" s="19">
        <v>6</v>
      </c>
      <c r="I70" s="19">
        <v>37</v>
      </c>
      <c r="J70" s="19">
        <v>0</v>
      </c>
      <c r="K70" s="20">
        <v>0</v>
      </c>
    </row>
    <row r="71" spans="1:11" x14ac:dyDescent="0.2">
      <c r="A71" s="18">
        <v>43805</v>
      </c>
      <c r="B71" s="18">
        <v>43811</v>
      </c>
      <c r="C71" s="19" t="s">
        <v>90</v>
      </c>
      <c r="D71" s="19" t="s">
        <v>43</v>
      </c>
      <c r="E71" s="19" t="s">
        <v>23</v>
      </c>
      <c r="F71" s="19">
        <v>75</v>
      </c>
      <c r="G71" s="19">
        <v>0</v>
      </c>
      <c r="H71" s="19">
        <v>6</v>
      </c>
      <c r="I71" s="19">
        <v>37</v>
      </c>
      <c r="J71" s="19">
        <v>0</v>
      </c>
      <c r="K71" s="20">
        <v>0</v>
      </c>
    </row>
    <row r="72" spans="1:11" x14ac:dyDescent="0.2">
      <c r="A72" s="18">
        <v>43805</v>
      </c>
      <c r="B72" s="18">
        <v>43811</v>
      </c>
      <c r="C72" s="19" t="s">
        <v>34</v>
      </c>
      <c r="D72" s="19" t="s">
        <v>43</v>
      </c>
      <c r="E72" s="19" t="s">
        <v>23</v>
      </c>
      <c r="F72" s="19">
        <v>50</v>
      </c>
      <c r="G72" s="19">
        <v>0</v>
      </c>
      <c r="H72" s="19">
        <v>6</v>
      </c>
      <c r="I72" s="19">
        <v>38</v>
      </c>
      <c r="J72" s="19">
        <v>38</v>
      </c>
      <c r="K72" s="20">
        <v>1</v>
      </c>
    </row>
    <row r="73" spans="1:11" x14ac:dyDescent="0.2">
      <c r="A73" s="18">
        <v>43805</v>
      </c>
      <c r="B73" s="18">
        <v>43811</v>
      </c>
      <c r="C73" s="19" t="s">
        <v>34</v>
      </c>
      <c r="D73" s="19" t="s">
        <v>43</v>
      </c>
      <c r="E73" s="19" t="s">
        <v>23</v>
      </c>
      <c r="F73" s="19">
        <v>75</v>
      </c>
      <c r="G73" s="19">
        <v>0</v>
      </c>
      <c r="H73" s="19">
        <v>6</v>
      </c>
      <c r="I73" s="19">
        <v>27</v>
      </c>
      <c r="J73" s="19">
        <v>27</v>
      </c>
      <c r="K73" s="20">
        <v>1</v>
      </c>
    </row>
    <row r="74" spans="1:11" x14ac:dyDescent="0.2">
      <c r="A74" s="18">
        <v>43805</v>
      </c>
      <c r="B74" s="18">
        <v>43811</v>
      </c>
      <c r="C74" s="19" t="s">
        <v>89</v>
      </c>
      <c r="D74" s="19" t="s">
        <v>43</v>
      </c>
      <c r="E74" s="19" t="s">
        <v>23</v>
      </c>
      <c r="F74" s="19">
        <v>50</v>
      </c>
      <c r="G74" s="19">
        <v>0</v>
      </c>
      <c r="H74" s="19">
        <v>6</v>
      </c>
      <c r="I74" s="19">
        <v>26</v>
      </c>
      <c r="J74" s="19">
        <v>0</v>
      </c>
      <c r="K74" s="20">
        <v>0</v>
      </c>
    </row>
    <row r="75" spans="1:11" x14ac:dyDescent="0.2">
      <c r="A75" s="18">
        <v>43805</v>
      </c>
      <c r="B75" s="18">
        <v>43811</v>
      </c>
      <c r="C75" s="19" t="s">
        <v>89</v>
      </c>
      <c r="D75" s="19" t="s">
        <v>43</v>
      </c>
      <c r="E75" s="19" t="s">
        <v>23</v>
      </c>
      <c r="F75" s="19">
        <v>75</v>
      </c>
      <c r="G75" s="19">
        <v>0</v>
      </c>
      <c r="H75" s="19">
        <v>6</v>
      </c>
      <c r="I75" s="19">
        <v>24</v>
      </c>
      <c r="J75" s="19">
        <v>5</v>
      </c>
      <c r="K75" s="20">
        <v>0.21</v>
      </c>
    </row>
    <row r="76" spans="1:11" x14ac:dyDescent="0.2">
      <c r="A76" s="18">
        <v>43805</v>
      </c>
      <c r="B76" s="18">
        <v>43811</v>
      </c>
      <c r="C76" s="19" t="s">
        <v>91</v>
      </c>
      <c r="D76" s="19" t="s">
        <v>43</v>
      </c>
      <c r="E76" s="19" t="s">
        <v>23</v>
      </c>
      <c r="F76" s="19">
        <v>50</v>
      </c>
      <c r="G76" s="19">
        <v>0</v>
      </c>
      <c r="H76" s="19">
        <v>6</v>
      </c>
      <c r="I76" s="19">
        <v>63</v>
      </c>
      <c r="J76" s="19">
        <v>33</v>
      </c>
      <c r="K76" s="20">
        <v>0.52</v>
      </c>
    </row>
    <row r="77" spans="1:11" x14ac:dyDescent="0.2">
      <c r="A77" s="18">
        <v>43805</v>
      </c>
      <c r="B77" s="18">
        <v>43811</v>
      </c>
      <c r="C77" s="19" t="s">
        <v>91</v>
      </c>
      <c r="D77" s="19" t="s">
        <v>43</v>
      </c>
      <c r="E77" s="19" t="s">
        <v>23</v>
      </c>
      <c r="F77" s="19">
        <v>75</v>
      </c>
      <c r="G77" s="19">
        <v>0</v>
      </c>
      <c r="H77" s="19">
        <v>6</v>
      </c>
      <c r="I77" s="19">
        <v>54</v>
      </c>
      <c r="J77" s="19">
        <v>30</v>
      </c>
      <c r="K77" s="20">
        <v>0.56000000000000005</v>
      </c>
    </row>
    <row r="78" spans="1:11" x14ac:dyDescent="0.2">
      <c r="A78" s="18">
        <v>43805</v>
      </c>
      <c r="B78" s="18">
        <v>43811</v>
      </c>
      <c r="C78" s="19" t="s">
        <v>92</v>
      </c>
      <c r="D78" s="19" t="s">
        <v>43</v>
      </c>
      <c r="E78" s="19" t="s">
        <v>23</v>
      </c>
      <c r="F78" s="19">
        <v>75</v>
      </c>
      <c r="G78" s="19">
        <v>0</v>
      </c>
      <c r="H78" s="19">
        <v>6</v>
      </c>
      <c r="I78" s="19">
        <v>39</v>
      </c>
      <c r="J78" s="19">
        <v>28</v>
      </c>
      <c r="K78" s="20">
        <v>0.72</v>
      </c>
    </row>
    <row r="79" spans="1:11" x14ac:dyDescent="0.2">
      <c r="A79" s="18">
        <v>43805</v>
      </c>
      <c r="B79" s="18">
        <v>43811</v>
      </c>
      <c r="C79" s="19" t="s">
        <v>92</v>
      </c>
      <c r="D79" s="19" t="s">
        <v>43</v>
      </c>
      <c r="E79" s="19" t="s">
        <v>23</v>
      </c>
      <c r="F79" s="19">
        <v>75</v>
      </c>
      <c r="G79" s="19">
        <v>0</v>
      </c>
      <c r="H79" s="19">
        <v>6</v>
      </c>
      <c r="I79" s="19">
        <v>42</v>
      </c>
      <c r="J79" s="19">
        <v>38</v>
      </c>
      <c r="K79" s="20">
        <v>0.9</v>
      </c>
    </row>
    <row r="80" spans="1:11" x14ac:dyDescent="0.2">
      <c r="A80" s="18">
        <v>43805</v>
      </c>
      <c r="B80" s="18">
        <v>43811</v>
      </c>
      <c r="C80" s="23">
        <v>796</v>
      </c>
      <c r="D80" s="19" t="s">
        <v>43</v>
      </c>
      <c r="E80" s="19" t="s">
        <v>23</v>
      </c>
      <c r="F80" s="19">
        <v>50</v>
      </c>
      <c r="G80" s="19">
        <v>400</v>
      </c>
      <c r="H80" s="19">
        <v>6</v>
      </c>
      <c r="I80" s="19">
        <v>31</v>
      </c>
      <c r="J80" s="19">
        <v>31</v>
      </c>
      <c r="K80" s="20">
        <v>1</v>
      </c>
    </row>
    <row r="81" spans="1:11" x14ac:dyDescent="0.2">
      <c r="A81" s="18">
        <v>43805</v>
      </c>
      <c r="B81" s="18">
        <v>43811</v>
      </c>
      <c r="C81" s="23">
        <v>796</v>
      </c>
      <c r="D81" s="19" t="s">
        <v>43</v>
      </c>
      <c r="E81" s="19" t="s">
        <v>23</v>
      </c>
      <c r="F81" s="19">
        <v>75</v>
      </c>
      <c r="G81" s="19">
        <v>400</v>
      </c>
      <c r="H81" s="19">
        <v>6</v>
      </c>
      <c r="I81" s="19">
        <v>56</v>
      </c>
      <c r="J81" s="19">
        <v>56</v>
      </c>
      <c r="K81" s="20">
        <v>1</v>
      </c>
    </row>
    <row r="82" spans="1:11" x14ac:dyDescent="0.2">
      <c r="A82" s="18">
        <v>43805</v>
      </c>
      <c r="B82" s="18">
        <v>43811</v>
      </c>
      <c r="C82" s="19" t="s">
        <v>94</v>
      </c>
      <c r="D82" s="19" t="s">
        <v>43</v>
      </c>
      <c r="E82" s="19" t="s">
        <v>23</v>
      </c>
      <c r="F82" s="19">
        <v>50</v>
      </c>
      <c r="G82" s="19">
        <v>400</v>
      </c>
      <c r="H82" s="19">
        <v>6</v>
      </c>
      <c r="I82" s="19">
        <v>42</v>
      </c>
      <c r="J82" s="19">
        <v>42</v>
      </c>
      <c r="K82" s="20">
        <v>1</v>
      </c>
    </row>
    <row r="83" spans="1:11" x14ac:dyDescent="0.2">
      <c r="A83" s="18">
        <v>43805</v>
      </c>
      <c r="B83" s="18">
        <v>43811</v>
      </c>
      <c r="C83" s="19" t="s">
        <v>94</v>
      </c>
      <c r="D83" s="19" t="s">
        <v>43</v>
      </c>
      <c r="E83" s="19" t="s">
        <v>23</v>
      </c>
      <c r="F83" s="19">
        <v>75</v>
      </c>
      <c r="G83" s="19">
        <v>400</v>
      </c>
      <c r="H83" s="19">
        <v>6</v>
      </c>
      <c r="I83" s="19">
        <v>43</v>
      </c>
      <c r="J83" s="19">
        <v>43</v>
      </c>
      <c r="K83" s="20">
        <v>1</v>
      </c>
    </row>
    <row r="84" spans="1:11" x14ac:dyDescent="0.2">
      <c r="A84" s="18">
        <v>43805</v>
      </c>
      <c r="B84" s="18">
        <v>43811</v>
      </c>
      <c r="C84" s="19" t="s">
        <v>93</v>
      </c>
      <c r="D84" s="19" t="s">
        <v>43</v>
      </c>
      <c r="E84" s="19" t="s">
        <v>23</v>
      </c>
      <c r="F84" s="19">
        <v>50</v>
      </c>
      <c r="G84" s="19">
        <v>400</v>
      </c>
      <c r="H84" s="19">
        <v>6</v>
      </c>
      <c r="I84" s="19">
        <v>27</v>
      </c>
      <c r="J84" s="19">
        <v>27</v>
      </c>
      <c r="K84" s="20">
        <v>1</v>
      </c>
    </row>
    <row r="85" spans="1:11" x14ac:dyDescent="0.2">
      <c r="A85" s="18">
        <v>43805</v>
      </c>
      <c r="B85" s="18">
        <v>43811</v>
      </c>
      <c r="C85" s="19" t="s">
        <v>93</v>
      </c>
      <c r="D85" s="19" t="s">
        <v>43</v>
      </c>
      <c r="E85" s="19" t="s">
        <v>23</v>
      </c>
      <c r="F85" s="19">
        <v>75</v>
      </c>
      <c r="G85" s="19">
        <v>400</v>
      </c>
      <c r="H85" s="19">
        <v>6</v>
      </c>
      <c r="I85" s="19">
        <v>27</v>
      </c>
      <c r="J85" s="19">
        <v>27</v>
      </c>
      <c r="K85" s="20">
        <v>1</v>
      </c>
    </row>
    <row r="86" spans="1:11" x14ac:dyDescent="0.2">
      <c r="A86" s="18">
        <v>43805</v>
      </c>
      <c r="B86" s="18">
        <v>43811</v>
      </c>
      <c r="C86" s="19" t="s">
        <v>28</v>
      </c>
      <c r="D86" s="19" t="s">
        <v>43</v>
      </c>
      <c r="E86" s="19" t="s">
        <v>23</v>
      </c>
      <c r="F86" s="19">
        <v>50</v>
      </c>
      <c r="G86" s="19">
        <v>400</v>
      </c>
      <c r="H86" s="19">
        <v>6</v>
      </c>
      <c r="I86" s="19">
        <v>37</v>
      </c>
      <c r="J86" s="19">
        <v>36</v>
      </c>
      <c r="K86" s="20">
        <v>0.97</v>
      </c>
    </row>
    <row r="87" spans="1:11" x14ac:dyDescent="0.2">
      <c r="A87" s="18">
        <v>43805</v>
      </c>
      <c r="B87" s="18">
        <v>43811</v>
      </c>
      <c r="C87" s="19" t="s">
        <v>28</v>
      </c>
      <c r="D87" s="19" t="s">
        <v>43</v>
      </c>
      <c r="E87" s="19" t="s">
        <v>23</v>
      </c>
      <c r="F87" s="19">
        <v>75</v>
      </c>
      <c r="G87" s="19">
        <v>400</v>
      </c>
      <c r="H87" s="19">
        <v>6</v>
      </c>
      <c r="I87" s="19">
        <v>53</v>
      </c>
      <c r="J87" s="19">
        <v>53</v>
      </c>
      <c r="K87" s="20">
        <v>1</v>
      </c>
    </row>
    <row r="88" spans="1:11" x14ac:dyDescent="0.2">
      <c r="A88" s="18">
        <v>43805</v>
      </c>
      <c r="B88" s="18">
        <v>43811</v>
      </c>
      <c r="C88" s="19" t="s">
        <v>87</v>
      </c>
      <c r="D88" s="19" t="s">
        <v>43</v>
      </c>
      <c r="E88" s="19" t="s">
        <v>23</v>
      </c>
      <c r="F88" s="19">
        <v>50</v>
      </c>
      <c r="G88" s="19">
        <v>400</v>
      </c>
      <c r="H88" s="19">
        <v>6</v>
      </c>
      <c r="I88" s="19">
        <v>50</v>
      </c>
      <c r="J88" s="19">
        <v>50</v>
      </c>
      <c r="K88" s="20">
        <v>1</v>
      </c>
    </row>
    <row r="89" spans="1:11" x14ac:dyDescent="0.2">
      <c r="A89" s="18">
        <v>43805</v>
      </c>
      <c r="B89" s="18">
        <v>43811</v>
      </c>
      <c r="C89" s="19" t="s">
        <v>87</v>
      </c>
      <c r="D89" s="19" t="s">
        <v>43</v>
      </c>
      <c r="E89" s="19" t="s">
        <v>23</v>
      </c>
      <c r="F89" s="19">
        <v>75</v>
      </c>
      <c r="G89" s="19">
        <v>400</v>
      </c>
      <c r="H89" s="19">
        <v>6</v>
      </c>
      <c r="I89" s="19">
        <v>40</v>
      </c>
      <c r="J89" s="19">
        <v>40</v>
      </c>
      <c r="K89" s="20">
        <v>1</v>
      </c>
    </row>
    <row r="90" spans="1:11" x14ac:dyDescent="0.2">
      <c r="A90" s="18">
        <v>43805</v>
      </c>
      <c r="B90" s="18">
        <v>43811</v>
      </c>
      <c r="C90" s="19" t="s">
        <v>88</v>
      </c>
      <c r="D90" s="19" t="s">
        <v>43</v>
      </c>
      <c r="E90" s="19" t="s">
        <v>23</v>
      </c>
      <c r="F90" s="19">
        <v>50</v>
      </c>
      <c r="G90" s="19">
        <v>400</v>
      </c>
      <c r="H90" s="19">
        <v>6</v>
      </c>
      <c r="I90" s="19">
        <v>35</v>
      </c>
      <c r="J90" s="19">
        <v>35</v>
      </c>
      <c r="K90" s="20">
        <v>1</v>
      </c>
    </row>
    <row r="91" spans="1:11" x14ac:dyDescent="0.2">
      <c r="A91" s="18">
        <v>43805</v>
      </c>
      <c r="B91" s="18">
        <v>43811</v>
      </c>
      <c r="C91" s="19" t="s">
        <v>88</v>
      </c>
      <c r="D91" s="19" t="s">
        <v>43</v>
      </c>
      <c r="E91" s="19" t="s">
        <v>23</v>
      </c>
      <c r="F91" s="19">
        <v>75</v>
      </c>
      <c r="G91" s="19">
        <v>400</v>
      </c>
      <c r="H91" s="19">
        <v>6</v>
      </c>
      <c r="I91" s="19">
        <v>35</v>
      </c>
      <c r="J91" s="19">
        <v>35</v>
      </c>
      <c r="K91" s="20">
        <v>1</v>
      </c>
    </row>
    <row r="92" spans="1:11" x14ac:dyDescent="0.2">
      <c r="A92" s="18">
        <v>43805</v>
      </c>
      <c r="B92" s="18">
        <v>43811</v>
      </c>
      <c r="C92" s="19" t="s">
        <v>90</v>
      </c>
      <c r="D92" s="19" t="s">
        <v>43</v>
      </c>
      <c r="E92" s="19" t="s">
        <v>23</v>
      </c>
      <c r="F92" s="19">
        <v>50</v>
      </c>
      <c r="G92" s="19">
        <v>400</v>
      </c>
      <c r="H92" s="19">
        <v>6</v>
      </c>
      <c r="I92" s="19">
        <v>49</v>
      </c>
      <c r="J92" s="19">
        <v>0</v>
      </c>
      <c r="K92" s="20">
        <v>0</v>
      </c>
    </row>
    <row r="93" spans="1:11" x14ac:dyDescent="0.2">
      <c r="A93" s="18">
        <v>43805</v>
      </c>
      <c r="B93" s="18">
        <v>43811</v>
      </c>
      <c r="C93" s="19" t="s">
        <v>90</v>
      </c>
      <c r="D93" s="19" t="s">
        <v>43</v>
      </c>
      <c r="E93" s="19" t="s">
        <v>23</v>
      </c>
      <c r="F93" s="19">
        <v>75</v>
      </c>
      <c r="G93" s="19">
        <v>400</v>
      </c>
      <c r="H93" s="19">
        <v>6</v>
      </c>
      <c r="I93" s="19">
        <v>44</v>
      </c>
      <c r="J93" s="19">
        <v>0</v>
      </c>
      <c r="K93" s="20">
        <v>0</v>
      </c>
    </row>
    <row r="94" spans="1:11" x14ac:dyDescent="0.2">
      <c r="A94" s="18">
        <v>43805</v>
      </c>
      <c r="B94" s="18">
        <v>43811</v>
      </c>
      <c r="C94" s="19" t="s">
        <v>34</v>
      </c>
      <c r="D94" s="19" t="s">
        <v>43</v>
      </c>
      <c r="E94" s="19" t="s">
        <v>23</v>
      </c>
      <c r="F94" s="19">
        <v>50</v>
      </c>
      <c r="G94" s="19">
        <v>400</v>
      </c>
      <c r="H94" s="19">
        <v>6</v>
      </c>
      <c r="I94" s="19">
        <v>43</v>
      </c>
      <c r="J94" s="19">
        <v>43</v>
      </c>
      <c r="K94" s="20">
        <v>1</v>
      </c>
    </row>
    <row r="95" spans="1:11" x14ac:dyDescent="0.2">
      <c r="A95" s="18">
        <v>43805</v>
      </c>
      <c r="B95" s="18">
        <v>43811</v>
      </c>
      <c r="C95" s="19" t="s">
        <v>34</v>
      </c>
      <c r="D95" s="19" t="s">
        <v>43</v>
      </c>
      <c r="E95" s="19" t="s">
        <v>23</v>
      </c>
      <c r="F95" s="19">
        <v>75</v>
      </c>
      <c r="G95" s="19">
        <v>400</v>
      </c>
      <c r="H95" s="19">
        <v>6</v>
      </c>
      <c r="I95" s="19">
        <v>33</v>
      </c>
      <c r="J95" s="19">
        <v>33</v>
      </c>
      <c r="K95" s="20">
        <v>1</v>
      </c>
    </row>
    <row r="96" spans="1:11" x14ac:dyDescent="0.2">
      <c r="A96" s="18">
        <v>43805</v>
      </c>
      <c r="B96" s="18">
        <v>43811</v>
      </c>
      <c r="C96" s="19" t="s">
        <v>89</v>
      </c>
      <c r="D96" s="19" t="s">
        <v>43</v>
      </c>
      <c r="E96" s="19" t="s">
        <v>23</v>
      </c>
      <c r="F96" s="19">
        <v>50</v>
      </c>
      <c r="G96" s="19">
        <v>400</v>
      </c>
      <c r="H96" s="19">
        <v>6</v>
      </c>
      <c r="I96" s="19">
        <v>25</v>
      </c>
      <c r="J96" s="19">
        <v>0</v>
      </c>
      <c r="K96" s="20">
        <v>0</v>
      </c>
    </row>
    <row r="97" spans="1:11" x14ac:dyDescent="0.2">
      <c r="A97" s="18">
        <v>43805</v>
      </c>
      <c r="B97" s="18">
        <v>43811</v>
      </c>
      <c r="C97" s="19" t="s">
        <v>89</v>
      </c>
      <c r="D97" s="19" t="s">
        <v>43</v>
      </c>
      <c r="E97" s="19" t="s">
        <v>23</v>
      </c>
      <c r="F97" s="19">
        <v>75</v>
      </c>
      <c r="G97" s="19">
        <v>400</v>
      </c>
      <c r="H97" s="19">
        <v>6</v>
      </c>
      <c r="I97" s="19">
        <v>31</v>
      </c>
      <c r="J97" s="19">
        <v>0</v>
      </c>
      <c r="K97" s="20">
        <v>0</v>
      </c>
    </row>
    <row r="98" spans="1:11" x14ac:dyDescent="0.2">
      <c r="A98" s="18">
        <v>43805</v>
      </c>
      <c r="B98" s="18">
        <v>43811</v>
      </c>
      <c r="C98" s="19" t="s">
        <v>91</v>
      </c>
      <c r="D98" s="19" t="s">
        <v>43</v>
      </c>
      <c r="E98" s="19" t="s">
        <v>23</v>
      </c>
      <c r="F98" s="19">
        <v>50</v>
      </c>
      <c r="G98" s="19">
        <v>400</v>
      </c>
      <c r="H98" s="19">
        <v>6</v>
      </c>
      <c r="I98" s="19">
        <v>37</v>
      </c>
      <c r="J98" s="19">
        <v>16</v>
      </c>
      <c r="K98" s="20">
        <v>0.43</v>
      </c>
    </row>
    <row r="99" spans="1:11" x14ac:dyDescent="0.2">
      <c r="A99" s="18">
        <v>43805</v>
      </c>
      <c r="B99" s="18">
        <v>43811</v>
      </c>
      <c r="C99" s="19" t="s">
        <v>91</v>
      </c>
      <c r="D99" s="19" t="s">
        <v>43</v>
      </c>
      <c r="E99" s="19" t="s">
        <v>23</v>
      </c>
      <c r="F99" s="19">
        <v>75</v>
      </c>
      <c r="G99" s="19">
        <v>400</v>
      </c>
      <c r="H99" s="19">
        <v>6</v>
      </c>
      <c r="I99" s="19">
        <v>44</v>
      </c>
      <c r="J99" s="19">
        <v>18</v>
      </c>
      <c r="K99" s="20">
        <v>0.41</v>
      </c>
    </row>
    <row r="100" spans="1:11" x14ac:dyDescent="0.2">
      <c r="A100" s="18">
        <v>43805</v>
      </c>
      <c r="B100" s="18">
        <v>43811</v>
      </c>
      <c r="C100" s="19" t="s">
        <v>92</v>
      </c>
      <c r="D100" s="19" t="s">
        <v>43</v>
      </c>
      <c r="E100" s="19" t="s">
        <v>23</v>
      </c>
      <c r="F100" s="19">
        <v>75</v>
      </c>
      <c r="G100" s="19">
        <v>400</v>
      </c>
      <c r="H100" s="19">
        <v>6</v>
      </c>
      <c r="I100" s="19">
        <v>38</v>
      </c>
      <c r="J100" s="19">
        <v>38</v>
      </c>
      <c r="K100" s="20">
        <v>1</v>
      </c>
    </row>
    <row r="101" spans="1:11" x14ac:dyDescent="0.2">
      <c r="A101" s="18">
        <v>43805</v>
      </c>
      <c r="B101" s="18">
        <v>43811</v>
      </c>
      <c r="C101" s="19" t="s">
        <v>92</v>
      </c>
      <c r="D101" s="19" t="s">
        <v>43</v>
      </c>
      <c r="E101" s="19" t="s">
        <v>23</v>
      </c>
      <c r="F101" s="19">
        <v>75</v>
      </c>
      <c r="G101" s="19">
        <v>400</v>
      </c>
      <c r="H101" s="19">
        <v>6</v>
      </c>
      <c r="I101" s="19">
        <v>23</v>
      </c>
      <c r="J101" s="19">
        <v>23</v>
      </c>
      <c r="K101" s="20">
        <v>1</v>
      </c>
    </row>
  </sheetData>
  <sortState xmlns:xlrd2="http://schemas.microsoft.com/office/spreadsheetml/2017/richdata2" ref="A58:K101">
    <sortCondition ref="G58:G101"/>
    <sortCondition ref="C58:C101"/>
    <sortCondition ref="F58:F10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78E8-AA27-A541-91CB-33A3D15D0E90}">
  <dimension ref="A1"/>
  <sheetViews>
    <sheetView topLeftCell="A71" workbookViewId="0">
      <selection activeCell="B140" sqref="B140"/>
    </sheetView>
  </sheetViews>
  <sheetFormatPr baseColWidth="10" defaultColWidth="11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E1 (Exp C) Day 3 (11_11)</vt:lpstr>
      <vt:lpstr>Read me</vt:lpstr>
      <vt:lpstr>E1 (Exp C) Day 6 (14_11) </vt:lpstr>
      <vt:lpstr>E2 (Exp D) Day 3 (18_11)</vt:lpstr>
      <vt:lpstr>E2 (Exp D) Day 6 (21_11)</vt:lpstr>
      <vt:lpstr>E3 (Exp E) Day 4 (26_11)</vt:lpstr>
      <vt:lpstr>E3 (Exp E) Day 6 (28_11)</vt:lpstr>
      <vt:lpstr>E4 (Exp A) Day 3&amp;4 (2&amp;3_12)</vt:lpstr>
      <vt:lpstr>E4 (Exp A) Day 6 (5_12)</vt:lpstr>
      <vt:lpstr>E5 (Exp B) Day 4 (10_12)</vt:lpstr>
      <vt:lpstr>E 5 (Exp B) Day 6 (12_12)</vt:lpstr>
      <vt:lpstr>column graph for rough comparis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Jennie Gardner</dc:creator>
  <cp:keywords/>
  <dc:description/>
  <cp:lastModifiedBy>Lauren Kennedy (Maths)</cp:lastModifiedBy>
  <cp:revision/>
  <dcterms:created xsi:type="dcterms:W3CDTF">2023-09-08T04:19:33Z</dcterms:created>
  <dcterms:modified xsi:type="dcterms:W3CDTF">2026-02-16T05:30:56Z</dcterms:modified>
  <cp:category/>
  <cp:contentStatus/>
</cp:coreProperties>
</file>